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gress" sheetId="2" state="visible" r:id="rId4"/>
    <sheet name="Internal Checklist" sheetId="3" state="visible" r:id="rId5"/>
    <sheet name="Employee Interviews" sheetId="4" state="visible" r:id="rId6"/>
    <sheet name="Buyer Interviews" sheetId="5" state="visible" r:id="rId7"/>
    <sheet name="Pilot Follow-up" sheetId="6" state="visible" r:id="rId8"/>
  </sheets>
  <definedNames>
    <definedName function="false" hidden="true" localSheetId="4" name="_xlnm._FilterDatabase" vbProcedure="false">'Buyer Interviews'!$A$1:$G$26</definedName>
    <definedName function="false" hidden="true" localSheetId="3" name="_xlnm._FilterDatabase" vbProcedure="false">'Employee Interviews'!$A$1:$G$62</definedName>
    <definedName function="false" hidden="true" localSheetId="2" name="_xlnm._FilterDatabase" vbProcedure="false">'Internal Checklist'!$A$1:$J$63</definedName>
    <definedName function="false" hidden="true" localSheetId="5" name="_xlnm._FilterDatabase" vbProcedure="false">'Pilot Follow-up'!$A$1:$G$15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<sst xmlns="http://schemas.openxmlformats.org/spreadsheetml/2006/main" count="1019" uniqueCount="583">
  <si>
    <t xml:space="preserve">NeuroBite - Question Checklist</t>
  </si>
  <si>
    <t xml:space="preserve">Due-diligence questions for the founder plus discovery questions for the people who will use and buy the product.</t>
  </si>
  <si>
    <t xml:space="preserve">Sheets</t>
  </si>
  <si>
    <t xml:space="preserve">Progress</t>
  </si>
  <si>
    <t xml:space="preserve">Live summary (formulas) of how many questions are answered per section.</t>
  </si>
  <si>
    <t xml:space="preserve">Internal Checklist</t>
  </si>
  <si>
    <t xml:space="preserve">62 questions for the founder to ask doctors, suppliers, lawyers, customers, and so on.</t>
  </si>
  <si>
    <t xml:space="preserve">Employee Interviews</t>
  </si>
  <si>
    <t xml:space="preserve">61 questions for the end users (office employees): daily routine, sleep, allergies, supplement history, voluntary health screening, concept reaction, privacy and culture. No price questions.</t>
  </si>
  <si>
    <t xml:space="preserve">Buyer Interviews</t>
  </si>
  <si>
    <t xml:space="preserve">25 questions for HR, procurement, facilities and legal at customer companies (decision process, compliance, privacy, operations, evidence). No price questions.</t>
  </si>
  <si>
    <t xml:space="preserve">Pilot Follow-up</t>
  </si>
  <si>
    <t xml:space="preserve">14 questions to ask employees after a trial period.</t>
  </si>
  <si>
    <t xml:space="preserve">Legend</t>
  </si>
  <si>
    <t xml:space="preserve">Yellow cells</t>
  </si>
  <si>
    <t xml:space="preserve">Cells you edit: Status, Answer / Evidence, Owner, Due Date, Source (internal sheet) or Answer / Notes (interview sheets).</t>
  </si>
  <si>
    <t xml:space="preserve">Dropdowns</t>
  </si>
  <si>
    <t xml:space="preserve">Status: Not started / In progress / Answered / Blocked. Priority: High / Medium / Low.</t>
  </si>
  <si>
    <t xml:space="preserve">Do not edit</t>
  </si>
  <si>
    <t xml:space="preserve">Progress sheet cells are formulas and update automatically.</t>
  </si>
  <si>
    <t xml:space="preserve">Example of a filled-in row (Internal Checklist)</t>
  </si>
  <si>
    <t xml:space="preserve">Question</t>
  </si>
  <si>
    <t xml:space="preserve">Priority</t>
  </si>
  <si>
    <t xml:space="preserve">Status</t>
  </si>
  <si>
    <t xml:space="preserve">Answer / Evidence</t>
  </si>
  <si>
    <t xml:space="preserve">Owner</t>
  </si>
  <si>
    <t xml:space="preserve">Due date</t>
  </si>
  <si>
    <t xml:space="preserve">Source</t>
  </si>
  <si>
    <t xml:space="preserve">Do we hold evidence for the 'FDA' statement?</t>
  </si>
  <si>
    <t xml:space="preserve">High</t>
  </si>
  <si>
    <t xml:space="preserve">Answered</t>
  </si>
  <si>
    <t xml:space="preserve">No. FDA does not certify supplements. Statement removed from site on 2026-10-15.</t>
  </si>
  <si>
    <t xml:space="preserve">Yusuf</t>
  </si>
  <si>
    <t xml:space="preserve">2026-10-15</t>
  </si>
  <si>
    <t xml:space="preserve">Site commit / lawyer email</t>
  </si>
  <si>
    <t xml:space="preserve">Interview tips</t>
  </si>
  <si>
    <t xml:space="preserve">-</t>
  </si>
  <si>
    <t xml:space="preserve">Ask about past behavior ('what did you do last time') rather than hypotheticals ('would you buy').</t>
  </si>
  <si>
    <t xml:space="preserve">Do not pitch or quote health benefits during interviews; you are collecting facts, not selling.</t>
  </si>
  <si>
    <t xml:space="preserve">Never collect medical details. If someone mentions a condition or medication, tell them to ask their doctor.</t>
  </si>
  <si>
    <t xml:space="preserve">Make it clear that participation is voluntary and answers are anonymous in any report.</t>
  </si>
  <si>
    <t xml:space="preserve">Interview 8-12 employees and 5-8 buyers before spending money on stock.</t>
  </si>
  <si>
    <t xml:space="preserve">Notes and assumptions</t>
  </si>
  <si>
    <t xml:space="preserve">UAE regulator names and requirements in this file (MOHAP, Dubai Municipality, ADAFSA, PDPL) are items to VERIFY with a local regulatory consultant or lawyer; they are not confirmed rules.</t>
  </si>
  <si>
    <t xml:space="preserve">This checklist is a planning tool, not medical or legal advice. Dose, interaction and safety questions must be answered by a qualified physician or clinical pharmacist.</t>
  </si>
  <si>
    <t xml:space="preserve">The health-screening part of the Employee Interviews sheet collects sensitive personal data. Keep it voluntary, always allow 'prefer not to say', store answers separately from HR systems, and let only the medical advisor review them. Check UAE data-protection (PDPL) requirements with a lawyer first.</t>
  </si>
  <si>
    <t xml:space="preserve">Allergy and health 'red flag' notes are screening suggestions for the medical advisor, not clinical decisions.</t>
  </si>
  <si>
    <t xml:space="preserve">Based on a review of the NeuroBite website content and the founder's product plan (October 2026).</t>
  </si>
  <si>
    <t xml:space="preserve">Section</t>
  </si>
  <si>
    <t xml:space="preserve">Total</t>
  </si>
  <si>
    <t xml:space="preserve">In progress</t>
  </si>
  <si>
    <t xml:space="preserve">Blocked</t>
  </si>
  <si>
    <t xml:space="preserve">Not started</t>
  </si>
  <si>
    <t xml:space="preserve">% answered</t>
  </si>
  <si>
    <t xml:space="preserve">High priority still open</t>
  </si>
  <si>
    <t xml:space="preserve">A. Formula &amp; Safety</t>
  </si>
  <si>
    <t xml:space="preserve">B. Sourcing &amp; Quality</t>
  </si>
  <si>
    <t xml:space="preserve">C. Inventory, Shelf Life &amp; Storage</t>
  </si>
  <si>
    <t xml:space="preserve">D. Legal &amp; Licensing</t>
  </si>
  <si>
    <t xml:space="preserve">E. Claims &amp; Labeling</t>
  </si>
  <si>
    <t xml:space="preserve">F. Halal, Allergens &amp; Dietary</t>
  </si>
  <si>
    <t xml:space="preserve">G. Customer Company (HR / Legal)</t>
  </si>
  <si>
    <t xml:space="preserve">H. Operations &amp; Logistics</t>
  </si>
  <si>
    <t xml:space="preserve">I. Finance</t>
  </si>
  <si>
    <t xml:space="preserve">J. Evidence &amp; Market</t>
  </si>
  <si>
    <t xml:space="preserve">K. Insurance &amp; Crisis</t>
  </si>
  <si>
    <t xml:space="preserve">TOTAL</t>
  </si>
  <si>
    <t xml:space="preserve">All figures on this sheet are formulas driven by the Status and Priority columns of the Internal Checklist sheet.</t>
  </si>
  <si>
    <t xml:space="preserve">#</t>
  </si>
  <si>
    <t xml:space="preserve">Ask whom</t>
  </si>
  <si>
    <t xml:space="preserve">Source / Document</t>
  </si>
  <si>
    <t xml:space="preserve">What are the effective AND safe daily dose ranges for Lion's Mane, Rhodiola, Omega-3 (DHA), CoQ10 and B12 in healthy adults?</t>
  </si>
  <si>
    <t xml:space="preserve">Physician / Clinical pharmacist / Dietitian</t>
  </si>
  <si>
    <t xml:space="preserve">Is there evidence for taking this exact combination together, every day, long term?</t>
  </si>
  <si>
    <t xml:space="preserve">Which medications interact with each ingredient (antidepressants, anticoagulants, blood-pressure, thyroid, diabetes, hormonal)?</t>
  </si>
  <si>
    <t xml:space="preserve">Who must NOT receive the tray (pregnancy, breastfeeding, epilepsy, bipolar disorder, immunosuppression, pre-surgery, fish or mushroom allergy)?</t>
  </si>
  <si>
    <t xml:space="preserve">Does the dose need adjusting for age or body weight?</t>
  </si>
  <si>
    <t xml:space="preserve">Medium</t>
  </si>
  <si>
    <t xml:space="preserve">How do we manage double-dosing with supplements employees already take?</t>
  </si>
  <si>
    <t xml:space="preserve">Do caffeine/theobromine (dark chocolate) combined with Rhodiola cause sleep or heart-rate issues?</t>
  </si>
  <si>
    <t xml:space="preserve">What is the best time of day for each item, and what happens if it is taken late in the day?</t>
  </si>
  <si>
    <t xml:space="preserve">How will adverse events be reported, recorded and reviewed, and by whom?</t>
  </si>
  <si>
    <t xml:space="preserve">Which components are mandatory vs. optional, and who signs off on that decision?</t>
  </si>
  <si>
    <t xml:space="preserve">Are the products officially distributed in the UAE? Is Thorne (and each other brand) available through authorized channels?</t>
  </si>
  <si>
    <t xml:space="preserve">Distributor / Manufacturer</t>
  </si>
  <si>
    <t xml:space="preserve">Do the brands allow bulk purchase, repackaging and commercial use, in writing?</t>
  </si>
  <si>
    <t xml:space="preserve">May we name the brands (Solgar, Thorne, Lindt, etc.) on our website and materials?</t>
  </si>
  <si>
    <t xml:space="preserve">Can we get a Certificate of Analysis for every batch (heavy metals, microbiology, active-ingredient verification)?</t>
  </si>
  <si>
    <t xml:space="preserve">What are the MOQ, lead time, price-change terms and out-of-stock history?</t>
  </si>
  <si>
    <t xml:space="preserve">Do we have a qualified second supplier for each item?</t>
  </si>
  <si>
    <t xml:space="preserve">If a substitution is needed, how and when are customers notified?</t>
  </si>
  <si>
    <t xml:space="preserve">What minimum remaining shelf life must each item have on receipt?</t>
  </si>
  <si>
    <t xml:space="preserve">Operations lead / Supplier / Food technologist</t>
  </si>
  <si>
    <t xml:space="preserve">What storage temperature and humidity are needed, and how will they be guaranteed in UAE summer?</t>
  </si>
  <si>
    <t xml:space="preserve">What are the heat/oxidation limits for omega-3, walnuts and dark chocolate?</t>
  </si>
  <si>
    <t xml:space="preserve">How will FEFO (first-expired-first-out) and batch tracking work?</t>
  </si>
  <si>
    <t xml:space="preserve">Who absorbs leftover stock and waste when subscribers cancel?</t>
  </si>
  <si>
    <t xml:space="preserve">After repackaging, how are expiry date and batch number preserved on the label?</t>
  </si>
  <si>
    <t xml:space="preserve">What is the recall procedure, and how quickly can we reach every customer?</t>
  </si>
  <si>
    <t xml:space="preserve">What registrations/approvals are required to import and sell supplements (MOHAP, Dubai Municipality, ADAFSA, etc.)?</t>
  </si>
  <si>
    <t xml:space="preserve">UAE regulatory consultant / Lawyer</t>
  </si>
  <si>
    <t xml:space="preserve">Does repackaging make us the legal manufacturer?</t>
  </si>
  <si>
    <t xml:space="preserve">What food-business license and kitchen approval do we need?</t>
  </si>
  <si>
    <t xml:space="preserve">Which legal entity and license type (mainland vs. free zone) fits best?</t>
  </si>
  <si>
    <t xml:space="preserve">Are there restrictions on distributing supplements through employers?</t>
  </si>
  <si>
    <t xml:space="preserve">How is each item classified (supplement, food, cosmetic for the roll-on)?</t>
  </si>
  <si>
    <t xml:space="preserve">Which health claims are permitted on labels and the website, and which are prohibited?</t>
  </si>
  <si>
    <t xml:space="preserve">Lawyer / Regulatory consultant / Marketing</t>
  </si>
  <si>
    <t xml:space="preserve">What is the source of every statistic on the site (23%, 41%, 89%, 2.4x)? If there is none, do we remove them?</t>
  </si>
  <si>
    <t xml:space="preserve">Do we hold evidence for the 'FDA', 'ISO 22000', 'GMP' and 'doctor-reviewed' statements?</t>
  </si>
  <si>
    <t xml:space="preserve">Must labels be in Arabic and English?</t>
  </si>
  <si>
    <t xml:space="preserve">Who writes and approves ingredient, allergen, dose and warning text?</t>
  </si>
  <si>
    <t xml:space="preserve">Are capsule shells gelatin (which source) and are they halal certified?</t>
  </si>
  <si>
    <t xml:space="preserve">Quality manager / Halal certifier</t>
  </si>
  <si>
    <t xml:space="preserve">Do the chocolate and other items contain alcohol, emulsifiers or animal-derived ingredients?</t>
  </si>
  <si>
    <t xml:space="preserve">How is cross-contamination with nuts controlled?</t>
  </si>
  <si>
    <t xml:space="preserve">How will delivery timing and content change during Ramadan?</t>
  </si>
  <si>
    <t xml:space="preserve">Are vegan, gluten-free and caffeine-free options truly produced separately?</t>
  </si>
  <si>
    <t xml:space="preserve">Is participation voluntary, and will non-participants be visible?</t>
  </si>
  <si>
    <t xml:space="preserve">HR / Legal at the customer</t>
  </si>
  <si>
    <t xml:space="preserve">If an employee reacts badly, who is liable?</t>
  </si>
  <si>
    <t xml:space="preserve">Will health/allergy data be collected? Where is it stored and who sees it (UAE PDPL)?</t>
  </si>
  <si>
    <t xml:space="preserve">Will the employer see QR-based 'wellness score' data?</t>
  </si>
  <si>
    <t xml:space="preserve">What do contracts say about cancellation, recall, liability cap and insurance?</t>
  </si>
  <si>
    <t xml:space="preserve">What kitchen, staffing and equipment are needed for 4 AM daily assembly?</t>
  </si>
  <si>
    <t xml:space="preserve">Operations lead / Logistics provider</t>
  </si>
  <si>
    <t xml:space="preserve">What are the cold-chain vehicle, driver and cross-emirate delivery costs?</t>
  </si>
  <si>
    <t xml:space="preserve">How are glass-bottle returns and breakage handled?</t>
  </si>
  <si>
    <t xml:space="preserve">Low</t>
  </si>
  <si>
    <t xml:space="preserve">What are the SLAs and compensation for late or missing deliveries?</t>
  </si>
  <si>
    <t xml:space="preserve">What are the target assembly time per tray and the error-rate target?</t>
  </si>
  <si>
    <t xml:space="preserve">What is the true cost per tray (product, packaging, labor, delivery, waste)?</t>
  </si>
  <si>
    <t xml:space="preserve">Founder / Accountant</t>
  </si>
  <si>
    <t xml:space="preserve">What are the target gross margin and the cost of free trial kits?</t>
  </si>
  <si>
    <t xml:space="preserve">How do we price in AED including VAT?</t>
  </si>
  <si>
    <t xml:space="preserve">What monthly churn can we survive, and how many customers do we need to break even?</t>
  </si>
  <si>
    <t xml:space="preserve">What cash and inventory capital are needed for the first 6 months?</t>
  </si>
  <si>
    <t xml:space="preserve">Which metrics will we track in the pilot (survey, absenteeism, satisfaction)?</t>
  </si>
  <si>
    <t xml:space="preserve">Founder / Pilot customers / Advisors</t>
  </si>
  <si>
    <t xml:space="preserve">Who are the first 2-3 pilot companies, and why would they trust us?</t>
  </si>
  <si>
    <t xml:space="preserve">How are we different from caterers and wellness firms, and can it be copied?</t>
  </si>
  <si>
    <t xml:space="preserve">What would demand and margin look like with a food-only tray (no supplements)?</t>
  </si>
  <si>
    <t xml:space="preserve">Do we have product-liability and food-safety/allergy insurance?</t>
  </si>
  <si>
    <t xml:space="preserve">Insurance broker / PR advisor</t>
  </si>
  <si>
    <t xml:space="preserve">What is the crisis-communication plan for negative media coverage?</t>
  </si>
  <si>
    <t xml:space="preserve">Who is the on-call medical advisor for adverse reactions?</t>
  </si>
  <si>
    <t xml:space="preserve">Topic</t>
  </si>
  <si>
    <t xml:space="preserve">Answer type</t>
  </si>
  <si>
    <t xml:space="preserve">Why we ask</t>
  </si>
  <si>
    <t xml:space="preserve">Red flag / watch for</t>
  </si>
  <si>
    <t xml:space="preserve">Answer / Notes</t>
  </si>
  <si>
    <t xml:space="preserve">E1</t>
  </si>
  <si>
    <t xml:space="preserve">Consent &amp; ground rules</t>
  </si>
  <si>
    <t xml:space="preserve">Participation is voluntary, you can skip any question ('prefer not to say'), and answers are confidential. Do you agree to continue?</t>
  </si>
  <si>
    <t xml:space="preserve">Yes/No</t>
  </si>
  <si>
    <t xml:space="preserve">Informed consent and trust.</t>
  </si>
  <si>
    <t xml:space="preserve">Any 'No': stop and thank them.</t>
  </si>
  <si>
    <t xml:space="preserve">E2</t>
  </si>
  <si>
    <t xml:space="preserve">May we contact you again for a pilot or follow-up? Which channel do you prefer?</t>
  </si>
  <si>
    <t xml:space="preserve">Yes/No + choice</t>
  </si>
  <si>
    <t xml:space="preserve">Pilot recruitment.</t>
  </si>
  <si>
    <t xml:space="preserve">E3</t>
  </si>
  <si>
    <t xml:space="preserve">Profile &amp; work schedule</t>
  </si>
  <si>
    <t xml:space="preserve">What is your age range?</t>
  </si>
  <si>
    <t xml:space="preserve">Choice (18-24 / 25-34 / 35-44 / 45-54 / 55+)</t>
  </si>
  <si>
    <t xml:space="preserve">Tolerance, habits and product tuning.</t>
  </si>
  <si>
    <t xml:space="preserve">E4</t>
  </si>
  <si>
    <t xml:space="preserve">What best describes your work: desk-based, mixed, field/shift, other?</t>
  </si>
  <si>
    <t xml:space="preserve">Choice</t>
  </si>
  <si>
    <t xml:space="preserve">Usage pattern and delivery fit.</t>
  </si>
  <si>
    <t xml:space="preserve">Mostly field/shift: tray may not reach them.</t>
  </si>
  <si>
    <t xml:space="preserve">E5</t>
  </si>
  <si>
    <t xml:space="preserve">Which days are you usually in the office, and what time do you arrive?</t>
  </si>
  <si>
    <t xml:space="preserve">Open</t>
  </si>
  <si>
    <t xml:space="preserve">Matches 8:30 AM delivery and avoids waste.</t>
  </si>
  <si>
    <t xml:space="preserve">Arrives after 10:00 or mostly remote.</t>
  </si>
  <si>
    <t xml:space="preserve">E6</t>
  </si>
  <si>
    <t xml:space="preserve">How many hours a day do you sit at a desk or screen?</t>
  </si>
  <si>
    <t xml:space="preserve">Number</t>
  </si>
  <si>
    <t xml:space="preserve">Context for energy and focus needs.</t>
  </si>
  <si>
    <t xml:space="preserve">E7</t>
  </si>
  <si>
    <t xml:space="preserve">How would you rate your work stress right now (1 = low, 5 = very high)?</t>
  </si>
  <si>
    <t xml:space="preserve">Scale 1-5</t>
  </si>
  <si>
    <t xml:space="preserve">Baseline for the focus/stress promise.</t>
  </si>
  <si>
    <t xml:space="preserve">Very low stress: weak need.</t>
  </si>
  <si>
    <t xml:space="preserve">E8</t>
  </si>
  <si>
    <t xml:space="preserve">Daily routine &amp; eating</t>
  </si>
  <si>
    <t xml:space="preserve">Walk me through a typical workday: what do you eat and drink, and when?</t>
  </si>
  <si>
    <t xml:space="preserve">Baseline eating and drinking habits.</t>
  </si>
  <si>
    <t xml:space="preserve">Strict routines or no snacking (low adoption).</t>
  </si>
  <si>
    <t xml:space="preserve">E9</t>
  </si>
  <si>
    <t xml:space="preserve">How often per week do you eat breakfast, lunch at the office, and an afternoon snack?</t>
  </si>
  <si>
    <t xml:space="preserve">Number per meal</t>
  </si>
  <si>
    <t xml:space="preserve">Where the tray fits in the day.</t>
  </si>
  <si>
    <t xml:space="preserve">Skips snacks entirely.</t>
  </si>
  <si>
    <t xml:space="preserve">E10</t>
  </si>
  <si>
    <t xml:space="preserve">How often do you eat out, order delivery, or bring food from home?</t>
  </si>
  <si>
    <t xml:space="preserve">Competing food sources.</t>
  </si>
  <si>
    <t xml:space="preserve">Always brings own food.</t>
  </si>
  <si>
    <t xml:space="preserve">E11</t>
  </si>
  <si>
    <t xml:space="preserve">Do you follow any fasting pattern (intermittent fasting, religious fasts, Ramadan, Monday/Thursday fasts)?</t>
  </si>
  <si>
    <t xml:space="preserve">Multi-choice</t>
  </si>
  <si>
    <t xml:space="preserve">Tray cannot be used while fasting.</t>
  </si>
  <si>
    <t xml:space="preserve">Fasting several days a week.</t>
  </si>
  <si>
    <t xml:space="preserve">E12</t>
  </si>
  <si>
    <t xml:space="preserve">Do you follow any particular diet: halal-only, vegetarian, vegan, pescatarian, gluten-free, lactose-free, low-carb, keto, other?</t>
  </si>
  <si>
    <t xml:space="preserve">Defines mandatory product options.</t>
  </si>
  <si>
    <t xml:space="preserve">Vegan or keto: core tray unsuitable.</t>
  </si>
  <si>
    <t xml:space="preserve">E13</t>
  </si>
  <si>
    <t xml:space="preserve">How many glasses or bottles of water do you drink per day?</t>
  </si>
  <si>
    <t xml:space="preserve">Hydration baseline.</t>
  </si>
  <si>
    <t xml:space="preserve">Already drinks plenty: water adds little.</t>
  </si>
  <si>
    <t xml:space="preserve">E14</t>
  </si>
  <si>
    <t xml:space="preserve">How many sodas, energy drinks or sweetened drinks do you have per week?</t>
  </si>
  <si>
    <t xml:space="preserve">Sugar and caffeine load.</t>
  </si>
  <si>
    <t xml:space="preserve">Daily energy drinks.</t>
  </si>
  <si>
    <t xml:space="preserve">E15</t>
  </si>
  <si>
    <t xml:space="preserve">How many caffeinated drinks do you have per day, and when is your last one?</t>
  </si>
  <si>
    <t xml:space="preserve">Number + time</t>
  </si>
  <si>
    <t xml:space="preserve">Caffeine stacking with chocolate and Rhodiola.</t>
  </si>
  <si>
    <t xml:space="preserve">4+ per day or after 15:00.</t>
  </si>
  <si>
    <t xml:space="preserve">E16</t>
  </si>
  <si>
    <t xml:space="preserve">Do you already eat dark chocolate, walnuts or pumpkin seeds? How often?</t>
  </si>
  <si>
    <t xml:space="preserve">Product familiarity and fatigue.</t>
  </si>
  <si>
    <t xml:space="preserve">Never eats them.</t>
  </si>
  <si>
    <t xml:space="preserve">E17</t>
  </si>
  <si>
    <t xml:space="preserve">Sleep, activity &amp; habits</t>
  </si>
  <si>
    <t xml:space="preserve">How many hours do you sleep on a typical night?</t>
  </si>
  <si>
    <t xml:space="preserve">Sleep baseline (stimulant sensitivity).</t>
  </si>
  <si>
    <t xml:space="preserve">Under 5 hours.</t>
  </si>
  <si>
    <t xml:space="preserve">E18</t>
  </si>
  <si>
    <t xml:space="preserve">How would you rate your sleep quality (1-5), and do you have trouble falling asleep?</t>
  </si>
  <si>
    <t xml:space="preserve">Scale 1-5 + Yes/No</t>
  </si>
  <si>
    <t xml:space="preserve">Rhodiola/caffeine can affect sleep.</t>
  </si>
  <si>
    <t xml:space="preserve">Poor sleep: avoid stimulating items.</t>
  </si>
  <si>
    <t xml:space="preserve">E19</t>
  </si>
  <si>
    <t xml:space="preserve">How many days per week do you exercise, and what kind?</t>
  </si>
  <si>
    <t xml:space="preserve">Number + open</t>
  </si>
  <si>
    <t xml:space="preserve">Lifestyle and energy context.</t>
  </si>
  <si>
    <t xml:space="preserve">E20</t>
  </si>
  <si>
    <t xml:space="preserve">Do you smoke or vape? (+ Prefer not to say)</t>
  </si>
  <si>
    <t xml:space="preserve">Yes/No/PNS</t>
  </si>
  <si>
    <t xml:space="preserve">Lifestyle context.</t>
  </si>
  <si>
    <t xml:space="preserve">E21</t>
  </si>
  <si>
    <t xml:space="preserve">Allergies &amp; intolerances</t>
  </si>
  <si>
    <t xml:space="preserve">Do you have any food allergies? Tick all that apply: peanuts, tree nuts (walnut, almond, etc.), seeds (pumpkin, sesame), fish, shellfish, milk, egg, soy, wheat/gluten, cocoa/chocolate, mushrooms, citrus, sulfites, other, none.</t>
  </si>
  <si>
    <t xml:space="preserve">Core tray contains walnuts, seeds, chocolate, fish-derived omega-3 and a mushroom extract.</t>
  </si>
  <si>
    <t xml:space="preserve">Nut, seed, fish or mushroom allergy: exclude or give an alternative tray.</t>
  </si>
  <si>
    <t xml:space="preserve">E22</t>
  </si>
  <si>
    <t xml:space="preserve">For each allergy: was it confirmed by a doctor or test, or is it suspected?</t>
  </si>
  <si>
    <t xml:space="preserve">Choice per allergy</t>
  </si>
  <si>
    <t xml:space="preserve">Confidence level of the allergy.</t>
  </si>
  <si>
    <t xml:space="preserve">Unconfirmed allergies still need exclusion.</t>
  </si>
  <si>
    <t xml:space="preserve">E23</t>
  </si>
  <si>
    <t xml:space="preserve">How severe is it (mild / moderate / anaphylaxis)? Do you carry an epinephrine auto-injector?</t>
  </si>
  <si>
    <t xml:space="preserve">Choice + Yes/No</t>
  </si>
  <si>
    <t xml:space="preserve">Cross-contamination risk.</t>
  </si>
  <si>
    <t xml:space="preserve">Anaphylaxis: needs allergen-free process or exclusion.</t>
  </si>
  <si>
    <t xml:space="preserve">E24</t>
  </si>
  <si>
    <t xml:space="preserve">Do you have intolerances (lactose, gluten/coeliac, fructose, histamine)?</t>
  </si>
  <si>
    <t xml:space="preserve">Ingredient fit.</t>
  </si>
  <si>
    <t xml:space="preserve">Coeliac: strict gluten control.</t>
  </si>
  <si>
    <t xml:space="preserve">E25</t>
  </si>
  <si>
    <t xml:space="preserve">Are you sensitive to caffeine or theobromine (jitters, palpitations, poor sleep)?</t>
  </si>
  <si>
    <t xml:space="preserve">Dark chocolate and stimulant effects.</t>
  </si>
  <si>
    <t xml:space="preserve">Any 'Yes': remove chocolate.</t>
  </si>
  <si>
    <t xml:space="preserve">E26</t>
  </si>
  <si>
    <t xml:space="preserve">Do you react to fragrances, essential oils, balsams or topical products (rosemary, mint, eczema, contact dermatitis)?</t>
  </si>
  <si>
    <t xml:space="preserve">Yes/No + open</t>
  </si>
  <si>
    <t xml:space="preserve">Roll-on safety.</t>
  </si>
  <si>
    <t xml:space="preserve">Any 'Yes': exclude roll-on.</t>
  </si>
  <si>
    <t xml:space="preserve">E27</t>
  </si>
  <si>
    <t xml:space="preserve">Do strong smells trigger migraines, asthma or nausea for you? Would scent in a shared office bother you?</t>
  </si>
  <si>
    <t xml:space="preserve">Shared-space issue for roll-on.</t>
  </si>
  <si>
    <t xml:space="preserve">Asthma or migraine trigger.</t>
  </si>
  <si>
    <t xml:space="preserve">E28</t>
  </si>
  <si>
    <t xml:space="preserve">Have you ever had a bad reaction to vitamins, herbal products or dietary supplements? What happened?</t>
  </si>
  <si>
    <t xml:space="preserve">Safety history.</t>
  </si>
  <si>
    <t xml:space="preserve">Any reaction: opt-out path needed.</t>
  </si>
  <si>
    <t xml:space="preserve">E29</t>
  </si>
  <si>
    <t xml:space="preserve">Do you avoid gelatin-based capsules, animal-derived ingredients or alcohol-containing ingredients for religious, ethical or dietary reasons?</t>
  </si>
  <si>
    <t xml:space="preserve">Capsule shell and ingredient sourcing.</t>
  </si>
  <si>
    <t xml:space="preserve">Yes: halal/vegan capsule certification required.</t>
  </si>
  <si>
    <t xml:space="preserve">E30</t>
  </si>
  <si>
    <t xml:space="preserve">Supplement history</t>
  </si>
  <si>
    <t xml:space="preserve">Do you currently take any vitamins, minerals or supplements (omega-3, CoQ10, B12, magnesium, herbal products, protein, pre-workout)? Which, and how often?</t>
  </si>
  <si>
    <t xml:space="preserve">Double-dosing risk.</t>
  </si>
  <si>
    <t xml:space="preserve">Already on omega-3, CoQ10, B12 or stimulants.</t>
  </si>
  <si>
    <t xml:space="preserve">E31</t>
  </si>
  <si>
    <t xml:space="preserve">Have you used herbal or adaptogen products (Rhodiola, ashwagandha, ginseng, Lion's Mane) before? What was your experience?</t>
  </si>
  <si>
    <t xml:space="preserve">Tolerance and expectations.</t>
  </si>
  <si>
    <t xml:space="preserve">Bad experience before.</t>
  </si>
  <si>
    <t xml:space="preserve">E32</t>
  </si>
  <si>
    <t xml:space="preserve">Do you use energy or pre-workout products or any 'nootropics'?</t>
  </si>
  <si>
    <t xml:space="preserve">Stimulant stacking.</t>
  </si>
  <si>
    <t xml:space="preserve">Regular use.</t>
  </si>
  <si>
    <t xml:space="preserve">E33</t>
  </si>
  <si>
    <t xml:space="preserve">Health screening (voluntary; confidential; medical advisor only)</t>
  </si>
  <si>
    <t xml:space="preserve">Are you pregnant, breastfeeding or planning a pregnancy? (+ Prefer not to say)</t>
  </si>
  <si>
    <t xml:space="preserve">Most supplements/oils need clinical review.</t>
  </si>
  <si>
    <t xml:space="preserve">Any 'Yes': exclude supplement and oil items pending doctor review.</t>
  </si>
  <si>
    <t xml:space="preserve">E34</t>
  </si>
  <si>
    <t xml:space="preserve">Do you take regular prescription medication in any of these groups? Antidepressant/anxiety, blood thinner, blood pressure, thyroid, diabetes, seizure, immune-suppressing, hormonal/contraceptive, ADHD/stimulant, other, none. (Tick groups only; do not name drugs.)</t>
  </si>
  <si>
    <t xml:space="preserve">Multi-choice (+ Prefer not to say)</t>
  </si>
  <si>
    <t xml:space="preserve">Interaction screening without collecting drug names.</t>
  </si>
  <si>
    <t xml:space="preserve">Any group: doctor review before supplements.</t>
  </si>
  <si>
    <t xml:space="preserve">E35</t>
  </si>
  <si>
    <t xml:space="preserve">Do you have any of these conditions? Epilepsy/seizures, bipolar/mania history, heart rhythm problems or palpitations, high or low blood pressure, diabetes, thyroid disorder, bleeding/clotting disorder, kidney or liver disease, autoimmune condition, stomach ulcer/reflux, migraines, anxiety or insomnia disorder, none.</t>
  </si>
  <si>
    <t xml:space="preserve">Contraindication screening.</t>
  </si>
  <si>
    <t xml:space="preserve">Any condition: doctor review before supplements.</t>
  </si>
  <si>
    <t xml:space="preserve">E36</t>
  </si>
  <si>
    <t xml:space="preserve">Do you have surgery or a dental procedure planned in the next 2 weeks? (+ Prefer not to say)</t>
  </si>
  <si>
    <t xml:space="preserve">Omega-3 and bleeding risk.</t>
  </si>
  <si>
    <t xml:space="preserve">Any 'Yes': pause supplements.</t>
  </si>
  <si>
    <t xml:space="preserve">E37</t>
  </si>
  <si>
    <t xml:space="preserve">Has a doctor ever advised you to avoid supplements, caffeine or any ingredient listed in this study? (+ Prefer not to say)</t>
  </si>
  <si>
    <t xml:space="preserve">Direct medical restriction.</t>
  </si>
  <si>
    <t xml:space="preserve">Any 'Yes': exclude.</t>
  </si>
  <si>
    <t xml:space="preserve">E38</t>
  </si>
  <si>
    <t xml:space="preserve">Would you be willing to get a quick OK from a doctor or pharmacist before taking supplement items?</t>
  </si>
  <si>
    <t xml:space="preserve">Feasibility of a medical-onboarding step.</t>
  </si>
  <si>
    <t xml:space="preserve">Mostly 'No': supplements must stay strictly opt-in.</t>
  </si>
  <si>
    <t xml:space="preserve">E39</t>
  </si>
  <si>
    <t xml:space="preserve">Would you prefer a food-only tray (no capsules, no roll-on)?</t>
  </si>
  <si>
    <t xml:space="preserve">Demand for a lower-risk product.</t>
  </si>
  <si>
    <t xml:space="preserve">Majority 'Yes': make food-only the default.</t>
  </si>
  <si>
    <t xml:space="preserve">E40</t>
  </si>
  <si>
    <t xml:space="preserve">Concept reaction</t>
  </si>
  <si>
    <t xml:space="preserve">In your own words, what do you think a 'cognitive nutrition tray' is?</t>
  </si>
  <si>
    <t xml:space="preserve">Tests message clarity.</t>
  </si>
  <si>
    <t xml:space="preserve">Described as 'pills' or 'a gimmick'.</t>
  </si>
  <si>
    <t xml:space="preserve">E41</t>
  </si>
  <si>
    <t xml:space="preserve">How would you feel if your employer offered you supplements at work? What would make you trust it more or less?</t>
  </si>
  <si>
    <t xml:space="preserve">Finds the trust barrier.</t>
  </si>
  <si>
    <t xml:space="preserve">Feels like pressure or surveillance.</t>
  </si>
  <si>
    <t xml:space="preserve">E42</t>
  </si>
  <si>
    <t xml:space="preserve">Which of the six components would you actually use? Please rank them.</t>
  </si>
  <si>
    <t xml:space="preserve">Rank</t>
  </si>
  <si>
    <t xml:space="preserve">Separates core from optional items.</t>
  </si>
  <si>
    <t xml:space="preserve">Capsules ranked last.</t>
  </si>
  <si>
    <t xml:space="preserve">E43</t>
  </si>
  <si>
    <t xml:space="preserve">Would you take capsules provided by your company? Under what conditions?</t>
  </si>
  <si>
    <t xml:space="preserve">Tests supplement acceptance.</t>
  </si>
  <si>
    <t xml:space="preserve">'Only with doctor information' means medical onboarding is needed.</t>
  </si>
  <si>
    <t xml:space="preserve">E44</t>
  </si>
  <si>
    <t xml:space="preserve">Would you use a rosemary/peppermint roll-on in a shared office? Any concerns (scent, skin, culture)?</t>
  </si>
  <si>
    <t xml:space="preserve">Shared-space and sensitivity issues.</t>
  </si>
  <si>
    <t xml:space="preserve">Skin reactions, colleague complaints.</t>
  </si>
  <si>
    <t xml:space="preserve">E45</t>
  </si>
  <si>
    <t xml:space="preserve">Do you prefer plain water to alkaline/oxygenated water? Would you use a glass bottle at your desk?</t>
  </si>
  <si>
    <t xml:space="preserve">Tests whether the special water has value.</t>
  </si>
  <si>
    <t xml:space="preserve">Plain-water preference: drop the claim.</t>
  </si>
  <si>
    <t xml:space="preserve">E46</t>
  </si>
  <si>
    <t xml:space="preserve">Would you actually do a 2-minute breathing/audio routine at your desk? Where and when?</t>
  </si>
  <si>
    <t xml:space="preserve">Tests QR ritual adoption.</t>
  </si>
  <si>
    <t xml:space="preserve">Open-plan office, no headphones, 'no time'.</t>
  </si>
  <si>
    <t xml:space="preserve">E47</t>
  </si>
  <si>
    <t xml:space="preserve">Is 85% dark chocolate something you would eat daily? What would you swap it for?</t>
  </si>
  <si>
    <t xml:space="preserve">Taste fatigue.</t>
  </si>
  <si>
    <t xml:space="preserve">Bitter; abandoned within a week.</t>
  </si>
  <si>
    <t xml:space="preserve">E48</t>
  </si>
  <si>
    <t xml:space="preserve">Is 8:30 AM delivery useful for you? What about hybrid/remote days and Fridays?</t>
  </si>
  <si>
    <t xml:space="preserve">Delivery timing and attendance.</t>
  </si>
  <si>
    <t xml:space="preserve">Low-attendance days create waste.</t>
  </si>
  <si>
    <t xml:space="preserve">E49</t>
  </si>
  <si>
    <t xml:space="preserve">Privacy &amp; participation</t>
  </si>
  <si>
    <t xml:space="preserve">Should taking part be opt-in? How would you feel if colleagues joined and you did not?</t>
  </si>
  <si>
    <t xml:space="preserve">Social pressure.</t>
  </si>
  <si>
    <t xml:space="preserve">Fear of being judged for not joining.</t>
  </si>
  <si>
    <t xml:space="preserve">E50</t>
  </si>
  <si>
    <t xml:space="preserve">What data about you would you be comfortable with your employer seeing (none / anonymous team totals / individual)?</t>
  </si>
  <si>
    <t xml:space="preserve">Defines the data model.</t>
  </si>
  <si>
    <t xml:space="preserve">Individual-level data rejected.</t>
  </si>
  <si>
    <t xml:space="preserve">E51</t>
  </si>
  <si>
    <t xml:space="preserve">Who should be allowed to see your allergy and health answers (nobody / medical advisor only / HR)?</t>
  </si>
  <si>
    <t xml:space="preserve">Consent boundaries for sensitive data.</t>
  </si>
  <si>
    <t xml:space="preserve">Any trust in HR below 'medical advisor only'.</t>
  </si>
  <si>
    <t xml:space="preserve">E52</t>
  </si>
  <si>
    <t xml:space="preserve">Would you scan a QR card daily? What would make that feel intrusive?</t>
  </si>
  <si>
    <t xml:space="preserve">Tracking tolerance.</t>
  </si>
  <si>
    <t xml:space="preserve">Seen as monitoring.</t>
  </si>
  <si>
    <t xml:space="preserve">E53</t>
  </si>
  <si>
    <t xml:space="preserve">Who would you want to ask before starting (doctor, family, HR)?</t>
  </si>
  <si>
    <t xml:space="preserve">Adoption path.</t>
  </si>
  <si>
    <t xml:space="preserve">HR is not trusted on health topics.</t>
  </si>
  <si>
    <t xml:space="preserve">E54</t>
  </si>
  <si>
    <t xml:space="preserve">Retention &amp; alternatives</t>
  </si>
  <si>
    <t xml:space="preserve">What would make you stop using it after two weeks?</t>
  </si>
  <si>
    <t xml:space="preserve">Churn drivers.</t>
  </si>
  <si>
    <t xml:space="preserve">Taste, hassle or side effects.</t>
  </si>
  <si>
    <t xml:space="preserve">E55</t>
  </si>
  <si>
    <t xml:space="preserve">What would you want instead of, or on top of, this?</t>
  </si>
  <si>
    <t xml:space="preserve">Alternative needs.</t>
  </si>
  <si>
    <t xml:space="preserve">Requests for fresh fruit, protein or plain water.</t>
  </si>
  <si>
    <t xml:space="preserve">E56</t>
  </si>
  <si>
    <t xml:space="preserve">Have you tried similar programs or products (greens powders, vitamin subscriptions)? What happened?</t>
  </si>
  <si>
    <t xml:space="preserve">Benchmark and competitor insight.</t>
  </si>
  <si>
    <t xml:space="preserve">Cancelled because no felt effect.</t>
  </si>
  <si>
    <t xml:space="preserve">E57</t>
  </si>
  <si>
    <t xml:space="preserve">On a scale of 1-5, how much do you believe supplements improve focus?</t>
  </si>
  <si>
    <t xml:space="preserve">Belief baseline (trust and placebo).</t>
  </si>
  <si>
    <t xml:space="preserve">Low belief means a hard sell.</t>
  </si>
  <si>
    <t xml:space="preserve">E58</t>
  </si>
  <si>
    <t xml:space="preserve">Culture &amp; religion</t>
  </si>
  <si>
    <t xml:space="preserve">How would this work during Ramadan, and what would you want to change?</t>
  </si>
  <si>
    <t xml:space="preserve">Fasting: daytime consumption problem.</t>
  </si>
  <si>
    <t xml:space="preserve">Product unusable for a month.</t>
  </si>
  <si>
    <t xml:space="preserve">E59</t>
  </si>
  <si>
    <t xml:space="preserve">Are there ingredient or sourcing questions (halal certificates, gelatin source) you would need answered?</t>
  </si>
  <si>
    <t xml:space="preserve">Cultural compliance.</t>
  </si>
  <si>
    <t xml:space="preserve">Missing halal proof.</t>
  </si>
  <si>
    <t xml:space="preserve">E60</t>
  </si>
  <si>
    <t xml:space="preserve">Wrap-up</t>
  </si>
  <si>
    <t xml:space="preserve">How likely are you to recommend this to a colleague (0-10)?</t>
  </si>
  <si>
    <t xml:space="preserve">Scale 0-10</t>
  </si>
  <si>
    <t xml:space="preserve">Concept-level NPS baseline.</t>
  </si>
  <si>
    <t xml:space="preserve">Score below 7.</t>
  </si>
  <si>
    <t xml:space="preserve">E61</t>
  </si>
  <si>
    <t xml:space="preserve">What question should we have asked you that we have not?</t>
  </si>
  <si>
    <t xml:space="preserve">Surfaces blind spots.</t>
  </si>
  <si>
    <t xml:space="preserve">B1</t>
  </si>
  <si>
    <t xml:space="preserve">Decision process</t>
  </si>
  <si>
    <t xml:space="preserve">Who must approve a new vendor (HR, finance, legal, health &amp; safety), and how long does it take?</t>
  </si>
  <si>
    <t xml:space="preserve">Maps the sales cycle.</t>
  </si>
  <si>
    <t xml:space="preserve">4+ approvers or 6+ months.</t>
  </si>
  <si>
    <t xml:space="preserve">B2</t>
  </si>
  <si>
    <t xml:space="preserve">What would this replace: snacks, fruit, gym stipend, or nothing?</t>
  </si>
  <si>
    <t xml:space="preserve">Defines the competing spend.</t>
  </si>
  <si>
    <t xml:space="preserve">Nothing replaced: needs new budget.</t>
  </si>
  <si>
    <t xml:space="preserve">B3</t>
  </si>
  <si>
    <t xml:space="preserve">What contract length and cancellation terms are acceptable?</t>
  </si>
  <si>
    <t xml:space="preserve">Inventory and churn planning.</t>
  </si>
  <si>
    <t xml:space="preserve">Cancel-anytime with no notice.</t>
  </si>
  <si>
    <t xml:space="preserve">B4</t>
  </si>
  <si>
    <t xml:space="preserve">What would a successful pilot look like, in numbers?</t>
  </si>
  <si>
    <t xml:space="preserve">Defines the success metric up front.</t>
  </si>
  <si>
    <t xml:space="preserve">No measurable target.</t>
  </si>
  <si>
    <t xml:space="preserve">B5</t>
  </si>
  <si>
    <t xml:space="preserve">Who is the internal champion, and who is the likely blocker?</t>
  </si>
  <si>
    <t xml:space="preserve">Stakeholder map.</t>
  </si>
  <si>
    <t xml:space="preserve">Legal or health &amp; safety unaware.</t>
  </si>
  <si>
    <t xml:space="preserve">B6</t>
  </si>
  <si>
    <t xml:space="preserve">Compliance &amp; procurement</t>
  </si>
  <si>
    <t xml:space="preserve">Which documents do you require from food/supplement vendors (trade license, HACCP/ISO, municipality permit, halal certificates, insurance, CoAs)?</t>
  </si>
  <si>
    <t xml:space="preserve">Shows readiness gaps.</t>
  </si>
  <si>
    <t xml:space="preserve">We cannot produce the documents.</t>
  </si>
  <si>
    <t xml:space="preserve">B7</t>
  </si>
  <si>
    <t xml:space="preserve">Do you have a policy on employer-provided supplements or medical-type products? Who must review it?</t>
  </si>
  <si>
    <t xml:space="preserve">Policy blockers.</t>
  </si>
  <si>
    <t xml:space="preserve">Policy forbids it.</t>
  </si>
  <si>
    <t xml:space="preserve">B8</t>
  </si>
  <si>
    <t xml:space="preserve">What liability or insurance minimum do you require from vendors?</t>
  </si>
  <si>
    <t xml:space="preserve">Insurance requirement.</t>
  </si>
  <si>
    <t xml:space="preserve">Above our current cover.</t>
  </si>
  <si>
    <t xml:space="preserve">B9</t>
  </si>
  <si>
    <t xml:space="preserve">Do you require medical or allergy screening before employees receive supplements?</t>
  </si>
  <si>
    <t xml:space="preserve">Onboarding workload.</t>
  </si>
  <si>
    <t xml:space="preserve">Mandatory screening makes the model heavy.</t>
  </si>
  <si>
    <t xml:space="preserve">B10</t>
  </si>
  <si>
    <t xml:space="preserve">How do you handle allergen/food-safety incidents, and what would you expect from us?</t>
  </si>
  <si>
    <t xml:space="preserve">Incident expectations.</t>
  </si>
  <si>
    <t xml:space="preserve">Unlimited liability expected.</t>
  </si>
  <si>
    <t xml:space="preserve">B11</t>
  </si>
  <si>
    <t xml:space="preserve">Privacy &amp; data</t>
  </si>
  <si>
    <t xml:space="preserve">What employee data are you willing to collect or receive (none / aggregate only / individual)?</t>
  </si>
  <si>
    <t xml:space="preserve">Data model fit.</t>
  </si>
  <si>
    <t xml:space="preserve">Wants individual health data.</t>
  </si>
  <si>
    <t xml:space="preserve">B12</t>
  </si>
  <si>
    <t xml:space="preserve">Who would own and see QR/wellness data, and which data-protection rules (UAE PDPL) apply?</t>
  </si>
  <si>
    <t xml:space="preserve">Legal exposure.</t>
  </si>
  <si>
    <t xml:space="preserve">No clear data owner.</t>
  </si>
  <si>
    <t xml:space="preserve">B13</t>
  </si>
  <si>
    <t xml:space="preserve">How do you make sure participation is voluntary and non-participants are not identifiable?</t>
  </si>
  <si>
    <t xml:space="preserve">Coercion risk.</t>
  </si>
  <si>
    <t xml:space="preserve">Participation expected of all staff.</t>
  </si>
  <si>
    <t xml:space="preserve">B14</t>
  </si>
  <si>
    <t xml:space="preserve">Operations &amp; culture</t>
  </si>
  <si>
    <t xml:space="preserve">How many employees are in the office on a typical day, and how much does it vary?</t>
  </si>
  <si>
    <t xml:space="preserve">True daily tray volume.</t>
  </si>
  <si>
    <t xml:space="preserve">Large day-to-day swings.</t>
  </si>
  <si>
    <t xml:space="preserve">B15</t>
  </si>
  <si>
    <t xml:space="preserve">What are the building's delivery rules (access hours, security, loading, permits)?</t>
  </si>
  <si>
    <t xml:space="preserve">Logistics feasibility.</t>
  </si>
  <si>
    <t xml:space="preserve">No early-morning access.</t>
  </si>
  <si>
    <t xml:space="preserve">B16</t>
  </si>
  <si>
    <t xml:space="preserve">How much fridge/pantry space can you give us?</t>
  </si>
  <si>
    <t xml:space="preserve">Storage feasibility.</t>
  </si>
  <si>
    <t xml:space="preserve">No dedicated cold space.</t>
  </si>
  <si>
    <t xml:space="preserve">B17</t>
  </si>
  <si>
    <t xml:space="preserve">How does your company handle Ramadan and religious/dietary requirements?</t>
  </si>
  <si>
    <t xml:space="preserve">Cultural fit.</t>
  </si>
  <si>
    <t xml:space="preserve">No plan for Ramadan.</t>
  </si>
  <si>
    <t xml:space="preserve">B18</t>
  </si>
  <si>
    <t xml:space="preserve">How should recycling and glass-bottle returns be handled?</t>
  </si>
  <si>
    <t xml:space="preserve">Waste and reverse logistics.</t>
  </si>
  <si>
    <t xml:space="preserve">No return space.</t>
  </si>
  <si>
    <t xml:space="preserve">B19</t>
  </si>
  <si>
    <t xml:space="preserve">Would you want branded trays or co-branding?</t>
  </si>
  <si>
    <t xml:space="preserve">Enterprise upsell.</t>
  </si>
  <si>
    <t xml:space="preserve">B20</t>
  </si>
  <si>
    <t xml:space="preserve">Evidence &amp; ROI</t>
  </si>
  <si>
    <t xml:space="preserve">Which outcomes matter to leadership: engagement, retention, absenteeism, perception, employer brand?</t>
  </si>
  <si>
    <t xml:space="preserve">Aligns the pitch to real goals.</t>
  </si>
  <si>
    <t xml:space="preserve">Only wants hard productivity proof.</t>
  </si>
  <si>
    <t xml:space="preserve">B21</t>
  </si>
  <si>
    <t xml:space="preserve">Are you willing to run a survey before and after a pilot?</t>
  </si>
  <si>
    <t xml:space="preserve">Evidence collection.</t>
  </si>
  <si>
    <t xml:space="preserve">No survey access.</t>
  </si>
  <si>
    <t xml:space="preserve">B22</t>
  </si>
  <si>
    <t xml:space="preserve">Which wellness vendors have you tried? What worked and what failed?</t>
  </si>
  <si>
    <t xml:space="preserve">Competitive learning.</t>
  </si>
  <si>
    <t xml:space="preserve">Past vendor was dropped for quality issues.</t>
  </si>
  <si>
    <t xml:space="preserve">B23</t>
  </si>
  <si>
    <t xml:space="preserve">May we use your company as a reference or case study?</t>
  </si>
  <si>
    <t xml:space="preserve">Social proof.</t>
  </si>
  <si>
    <t xml:space="preserve">B24</t>
  </si>
  <si>
    <t xml:space="preserve">Close</t>
  </si>
  <si>
    <t xml:space="preserve">What would make you say no today?</t>
  </si>
  <si>
    <t xml:space="preserve">Surfaces the real objection.</t>
  </si>
  <si>
    <t xml:space="preserve">Any compliance-related answer.</t>
  </si>
  <si>
    <t xml:space="preserve">B25</t>
  </si>
  <si>
    <t xml:space="preserve">What did we not ask that we should have?</t>
  </si>
  <si>
    <t xml:space="preserve">Blind spots.</t>
  </si>
  <si>
    <t xml:space="preserve">P1</t>
  </si>
  <si>
    <t xml:space="preserve">Usage</t>
  </si>
  <si>
    <t xml:space="preserve">On how many of the pilot days did you use the tray?</t>
  </si>
  <si>
    <t xml:space="preserve">Real adoption rate.</t>
  </si>
  <si>
    <t xml:space="preserve">Below 50%.</t>
  </si>
  <si>
    <t xml:space="preserve">P2</t>
  </si>
  <si>
    <t xml:space="preserve">Which items did you use, and which did you skip? Why?</t>
  </si>
  <si>
    <t xml:space="preserve">Shows which items to cut.</t>
  </si>
  <si>
    <t xml:space="preserve">Capsules skipped most.</t>
  </si>
  <si>
    <t xml:space="preserve">P3</t>
  </si>
  <si>
    <t xml:space="preserve">Safety</t>
  </si>
  <si>
    <t xml:space="preserve">Did you notice any side effects (stomach upset, sleep change, headache, racing heart, skin irritation)? Please describe.</t>
  </si>
  <si>
    <t xml:space="preserve">Safety signal.</t>
  </si>
  <si>
    <t xml:space="preserve">ANY serious effect: stop and escalate to the medical advisor.</t>
  </si>
  <si>
    <t xml:space="preserve">P4</t>
  </si>
  <si>
    <t xml:space="preserve">Did the labels and ingredient/allergen information feel clear?</t>
  </si>
  <si>
    <t xml:space="preserve">Label quality.</t>
  </si>
  <si>
    <t xml:space="preserve">Score 3 or lower.</t>
  </si>
  <si>
    <t xml:space="preserve">P5</t>
  </si>
  <si>
    <t xml:space="preserve">Effect</t>
  </si>
  <si>
    <t xml:space="preserve">Compared with before the pilot, how is your afternoon focus (1 = worse, 5 = better)?</t>
  </si>
  <si>
    <t xml:space="preserve">Perceived effect (self-reported only).</t>
  </si>
  <si>
    <t xml:space="preserve">No change or worse.</t>
  </si>
  <si>
    <t xml:space="preserve">P6</t>
  </si>
  <si>
    <t xml:space="preserve">Compared with before the pilot, how is your energy level (1 = worse, 5 = better)?</t>
  </si>
  <si>
    <t xml:space="preserve">Perceived effect.</t>
  </si>
  <si>
    <t xml:space="preserve">P7</t>
  </si>
  <si>
    <t xml:space="preserve">Has your sleep changed (1 = worse, 5 = better)?</t>
  </si>
  <si>
    <t xml:space="preserve">Caffeine/Rhodiola effect.</t>
  </si>
  <si>
    <t xml:space="preserve">Score 2 or lower.</t>
  </si>
  <si>
    <t xml:space="preserve">P8</t>
  </si>
  <si>
    <t xml:space="preserve">Product</t>
  </si>
  <si>
    <t xml:space="preserve">Rate taste and portion for each item (1-5).</t>
  </si>
  <si>
    <t xml:space="preserve">Scale 1-5 per item</t>
  </si>
  <si>
    <t xml:space="preserve">Product tuning.</t>
  </si>
  <si>
    <t xml:space="preserve">Chocolate or water rated low.</t>
  </si>
  <si>
    <t xml:space="preserve">P9</t>
  </si>
  <si>
    <t xml:space="preserve">Was the 8:30 AM delivery on time and complete?</t>
  </si>
  <si>
    <t xml:space="preserve">Service quality.</t>
  </si>
  <si>
    <t xml:space="preserve">Late or missing items.</t>
  </si>
  <si>
    <t xml:space="preserve">P10</t>
  </si>
  <si>
    <t xml:space="preserve">Did you use the QR routine? What made it easy or hard?</t>
  </si>
  <si>
    <t xml:space="preserve">Digital ritual adoption.</t>
  </si>
  <si>
    <t xml:space="preserve">Used under 20% of days.</t>
  </si>
  <si>
    <t xml:space="preserve">P11</t>
  </si>
  <si>
    <t xml:space="preserve">Experience</t>
  </si>
  <si>
    <t xml:space="preserve">Did you feel any pressure to participate?</t>
  </si>
  <si>
    <t xml:space="preserve">Any 'Yes'.</t>
  </si>
  <si>
    <t xml:space="preserve">P12</t>
  </si>
  <si>
    <t xml:space="preserve">Overall</t>
  </si>
  <si>
    <t xml:space="preserve">Would you want to continue after the pilot? Why or why not?</t>
  </si>
  <si>
    <t xml:space="preserve">Yes/No/Maybe + open</t>
  </si>
  <si>
    <t xml:space="preserve">Retention signal.</t>
  </si>
  <si>
    <t xml:space="preserve">Mostly No or Maybe.</t>
  </si>
  <si>
    <t xml:space="preserve">P13</t>
  </si>
  <si>
    <t xml:space="preserve">Pilot NPS.</t>
  </si>
  <si>
    <t xml:space="preserve">Below 7.</t>
  </si>
  <si>
    <t xml:space="preserve">P14</t>
  </si>
  <si>
    <t xml:space="preserve">What one thing should we remove or change?</t>
  </si>
  <si>
    <t xml:space="preserve">Prioritises product changes.</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</si>
</sst>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10"/>
      <color rgb="FF000000"/>
      <name val="Arial"/>
      <family val="0"/>
      <charset val="1"/>
    </font>
    <font>
      <b val="true"/>
      <sz val="12"/>
      <color rgb="FF1F2A44"/>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i val="true"/>
      <sz val="10"/>
      <color rgb="FF666666"/>
      <name val="Arial"/>
      <family val="0"/>
      <charset val="1"/>
    </font>
  </fonts>
  <fills count="5">
    <fill>
      <patternFill patternType="none"/>
    </fill>
    <fill>
      <patternFill patternType="gray125"/>
    </fill>
    <fill>
      <patternFill patternType="solid">
        <fgColor rgb="FFFFF9DB"/>
        <bgColor rgb="FFFDEBD0"/>
      </patternFill>
    </fill>
    <fill>
      <patternFill patternType="solid">
        <fgColor rgb="FF1F2A44"/>
        <bgColor rgb="FF003366"/>
      </patternFill>
    </fill>
    <fill>
      <patternFill patternType="solid">
        <fgColor rgb="FFE8EEF9"/>
        <bgColor rgb="FFD5F5E3"/>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2A4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ADBD8"/>
          <bgColor rgb="FF000000"/>
        </patternFill>
      </fill>
    </dxf>
    <dxf>
      <fill>
        <patternFill patternType="solid">
          <fgColor rgb="FFFFF9DB"/>
          <bgColor rgb="FF000000"/>
        </patternFill>
      </fill>
    </dxf>
    <dxf>
      <fill>
        <patternFill>
          <bgColor rgb="FFFADBD8"/>
        </patternFill>
      </fill>
    </dxf>
    <dxf>
      <fill>
        <patternFill>
          <bgColor rgb="FFD5F5E3"/>
        </patternFill>
      </fill>
    </dxf>
    <dxf>
      <fill>
        <patternFill>
          <bgColor rgb="FFFDEBD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E8EE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D5F5E3"/>
      <rgbColor rgb="FFFDEBD0"/>
      <rgbColor rgb="FF99CCFF"/>
      <rgbColor rgb="FFFF99CC"/>
      <rgbColor rgb="FFCC99FF"/>
      <rgbColor rgb="FFFADBD8"/>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28"/>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4" t="s">
        <v>11</v>
      </c>
      <c r="B9" s="5" t="s">
        <v>12</v>
      </c>
    </row>
    <row r="11" customFormat="false" ht="15" hidden="false" customHeight="false" outlineLevel="0" collapsed="false">
      <c r="A11" s="3" t="s">
        <v>13</v>
      </c>
    </row>
    <row r="12" customFormat="false" ht="15" hidden="false" customHeight="false" outlineLevel="0" collapsed="false">
      <c r="A12" s="6" t="s">
        <v>14</v>
      </c>
      <c r="B12" s="5" t="s">
        <v>15</v>
      </c>
    </row>
    <row r="13" customFormat="false" ht="15" hidden="false" customHeight="false" outlineLevel="0" collapsed="false">
      <c r="A13" s="4" t="s">
        <v>16</v>
      </c>
      <c r="B13" s="5" t="s">
        <v>17</v>
      </c>
    </row>
    <row r="14" customFormat="false" ht="15" hidden="false" customHeight="false" outlineLevel="0" collapsed="false">
      <c r="A14" s="4" t="s">
        <v>18</v>
      </c>
      <c r="B14" s="5" t="s">
        <v>19</v>
      </c>
    </row>
    <row r="16" customFormat="false" ht="15" hidden="false" customHeight="false" outlineLevel="0" collapsed="false">
      <c r="A16" s="3" t="s">
        <v>20</v>
      </c>
    </row>
    <row r="17" customFormat="false" ht="15" hidden="false" customHeight="false" outlineLevel="0" collapsed="false">
      <c r="A17" s="7" t="s">
        <v>21</v>
      </c>
      <c r="B17" s="7" t="s">
        <v>22</v>
      </c>
      <c r="C17" s="7" t="s">
        <v>23</v>
      </c>
      <c r="D17" s="7" t="s">
        <v>24</v>
      </c>
      <c r="E17" s="7" t="s">
        <v>25</v>
      </c>
      <c r="F17" s="7" t="s">
        <v>26</v>
      </c>
      <c r="G17" s="7" t="s">
        <v>27</v>
      </c>
    </row>
    <row r="18" customFormat="false" ht="54.75" hidden="false" customHeight="true" outlineLevel="0" collapsed="false">
      <c r="A18" s="8" t="s">
        <v>28</v>
      </c>
      <c r="B18" s="8" t="s">
        <v>29</v>
      </c>
      <c r="C18" s="9" t="s">
        <v>30</v>
      </c>
      <c r="D18" s="9" t="s">
        <v>31</v>
      </c>
      <c r="E18" s="9" t="s">
        <v>32</v>
      </c>
      <c r="F18" s="9" t="s">
        <v>33</v>
      </c>
      <c r="G18" s="9" t="s">
        <v>34</v>
      </c>
    </row>
    <row r="20" customFormat="false" ht="15" hidden="false" customHeight="false" outlineLevel="0" collapsed="false">
      <c r="A20" s="3" t="s">
        <v>35</v>
      </c>
    </row>
    <row r="21" customFormat="false" ht="15" hidden="false" customHeight="false" outlineLevel="0" collapsed="false">
      <c r="A21" s="5" t="s">
        <v>36</v>
      </c>
      <c r="B21" s="5" t="s">
        <v>37</v>
      </c>
    </row>
    <row r="22" customFormat="false" ht="15" hidden="false" customHeight="false" outlineLevel="0" collapsed="false">
      <c r="A22" s="5" t="s">
        <v>36</v>
      </c>
      <c r="B22" s="5" t="s">
        <v>38</v>
      </c>
    </row>
    <row r="23" customFormat="false" ht="15" hidden="false" customHeight="false" outlineLevel="0" collapsed="false">
      <c r="A23" s="5" t="s">
        <v>36</v>
      </c>
      <c r="B23" s="5" t="s">
        <v>39</v>
      </c>
    </row>
    <row r="24" customFormat="false" ht="15" hidden="false" customHeight="false" outlineLevel="0" collapsed="false">
      <c r="A24" s="5" t="s">
        <v>36</v>
      </c>
      <c r="B24" s="5" t="s">
        <v>40</v>
      </c>
    </row>
    <row r="25" customFormat="false" ht="15" hidden="false" customHeight="false" outlineLevel="0" collapsed="false">
      <c r="A25" s="5" t="s">
        <v>36</v>
      </c>
      <c r="B25" s="5" t="s">
        <v>41</v>
      </c>
    </row>
    <row r="27" customFormat="false" ht="15" hidden="false" customHeight="false" outlineLevel="0" collapsed="false">
      <c r="A27" s="3" t="s">
        <v>42</v>
      </c>
    </row>
    <row r="28" customFormat="false" ht="15" hidden="false" customHeight="false" outlineLevel="0" collapsed="false">
      <c r="A28" s="5" t="s">
        <v>36</v>
      </c>
      <c r="B28" s="5" t="s">
        <v>43</v>
      </c>
    </row>
    <row r="29" customFormat="false" ht="15" hidden="false" customHeight="false" outlineLevel="0" collapsed="false">
      <c r="A29" s="5" t="s">
        <v>36</v>
      </c>
      <c r="B29" s="5" t="s">
        <v>44</v>
      </c>
    </row>
    <row r="30" customFormat="false" ht="15" hidden="false" customHeight="false" outlineLevel="0" collapsed="false">
      <c r="A30" s="5" t="s">
        <v>36</v>
      </c>
      <c r="B30" s="5" t="s">
        <v>45</v>
      </c>
    </row>
    <row r="31" customFormat="false" ht="15" hidden="false" customHeight="false" outlineLevel="0" collapsed="false">
      <c r="A31" s="5" t="s">
        <v>36</v>
      </c>
      <c r="B31" s="5" t="s">
        <v>46</v>
      </c>
    </row>
    <row r="32" customFormat="false" ht="15" hidden="false" customHeight="false" outlineLevel="0" collapsed="false">
      <c r="A32" s="5" t="s">
        <v>36</v>
      </c>
      <c r="B32" s="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9"/>
    <col collapsed="false" customWidth="true" hidden="false" outlineLevel="0" max="3" min="3" style="0" width="11"/>
    <col collapsed="false" customWidth="true" hidden="false" outlineLevel="0" max="4" min="4" style="0" width="12"/>
    <col collapsed="false" customWidth="true" hidden="false" outlineLevel="0" max="5" min="5" style="0" width="10"/>
    <col collapsed="false" customWidth="true" hidden="false" outlineLevel="0" max="7" min="6" style="0" width="12"/>
    <col collapsed="false" customWidth="true" hidden="false" outlineLevel="0" max="8" min="8" style="0" width="24"/>
  </cols>
  <sheetData>
    <row r="1" customFormat="false" ht="30" hidden="false" customHeight="true" outlineLevel="0" collapsed="false">
      <c r="A1" s="10" t="s">
        <v>48</v>
      </c>
      <c r="B1" s="10" t="s">
        <v>49</v>
      </c>
      <c r="C1" s="10" t="s">
        <v>30</v>
      </c>
      <c r="D1" s="10" t="s">
        <v>50</v>
      </c>
      <c r="E1" s="10" t="s">
        <v>51</v>
      </c>
      <c r="F1" s="10" t="s">
        <v>52</v>
      </c>
      <c r="G1" s="10" t="s">
        <v>53</v>
      </c>
      <c r="H1" s="10" t="s">
        <v>54</v>
      </c>
    </row>
    <row r="2" customFormat="false" ht="15" hidden="false" customHeight="false" outlineLevel="0" collapsed="false">
      <c r="A2" s="11" t="s">
        <v>55</v>
      </c>
      <c r="B2" s="12" t="n">
        <f aca="false">COUNTIFS('Internal Checklist'!$B$2:$B$63,$A2)</f>
        <v>10</v>
      </c>
      <c r="C2" s="12" t="n">
        <f aca="false">COUNTIFS('Internal Checklist'!$B$2:$B$63,$A2,'Internal Checklist'!$F$2:$F$63,"Answered")</f>
        <v>0</v>
      </c>
      <c r="D2" s="12" t="n">
        <f aca="false">COUNTIFS('Internal Checklist'!$B$2:$B$63,$A2,'Internal Checklist'!$F$2:$F$63,"In progress")</f>
        <v>0</v>
      </c>
      <c r="E2" s="12" t="n">
        <f aca="false">COUNTIFS('Internal Checklist'!$B$2:$B$63,$A2,'Internal Checklist'!$F$2:$F$63,"Blocked")</f>
        <v>0</v>
      </c>
      <c r="F2" s="12" t="n">
        <f aca="false">COUNTIFS('Internal Checklist'!$B$2:$B$63,$A2,'Internal Checklist'!$F$2:$F$63,"Not started")</f>
        <v>10</v>
      </c>
      <c r="G2" s="13" t="n">
        <f aca="false">IFERROR(C2/B2,0)</f>
        <v>0</v>
      </c>
      <c r="H2" s="12" t="n">
        <f aca="false">COUNTIFS('Internal Checklist'!$B$2:$B$63,$A2,'Internal Checklist'!$E$2:$E$63,"High")-COUNTIFS('Internal Checklist'!$B$2:$B$63,$A2,'Internal Checklist'!$E$2:$E$63,"High",'Internal Checklist'!$F$2:$F$63,"Answered")</f>
        <v>7</v>
      </c>
    </row>
    <row r="3" customFormat="false" ht="15" hidden="false" customHeight="false" outlineLevel="0" collapsed="false">
      <c r="A3" s="11" t="s">
        <v>56</v>
      </c>
      <c r="B3" s="12" t="n">
        <f aca="false">COUNTIFS('Internal Checklist'!$B$2:$B$63,$A3)</f>
        <v>7</v>
      </c>
      <c r="C3" s="12" t="n">
        <f aca="false">COUNTIFS('Internal Checklist'!$B$2:$B$63,$A3,'Internal Checklist'!$F$2:$F$63,"Answered")</f>
        <v>0</v>
      </c>
      <c r="D3" s="12" t="n">
        <f aca="false">COUNTIFS('Internal Checklist'!$B$2:$B$63,$A3,'Internal Checklist'!$F$2:$F$63,"In progress")</f>
        <v>0</v>
      </c>
      <c r="E3" s="12" t="n">
        <f aca="false">COUNTIFS('Internal Checklist'!$B$2:$B$63,$A3,'Internal Checklist'!$F$2:$F$63,"Blocked")</f>
        <v>0</v>
      </c>
      <c r="F3" s="12" t="n">
        <f aca="false">COUNTIFS('Internal Checklist'!$B$2:$B$63,$A3,'Internal Checklist'!$F$2:$F$63,"Not started")</f>
        <v>7</v>
      </c>
      <c r="G3" s="13" t="n">
        <f aca="false">IFERROR(C3/B3,0)</f>
        <v>0</v>
      </c>
      <c r="H3" s="12" t="n">
        <f aca="false">COUNTIFS('Internal Checklist'!$B$2:$B$63,$A3,'Internal Checklist'!$E$2:$E$63,"High")-COUNTIFS('Internal Checklist'!$B$2:$B$63,$A3,'Internal Checklist'!$E$2:$E$63,"High",'Internal Checklist'!$F$2:$F$63,"Answered")</f>
        <v>4</v>
      </c>
    </row>
    <row r="4" customFormat="false" ht="15" hidden="false" customHeight="false" outlineLevel="0" collapsed="false">
      <c r="A4" s="11" t="s">
        <v>57</v>
      </c>
      <c r="B4" s="12" t="n">
        <f aca="false">COUNTIFS('Internal Checklist'!$B$2:$B$63,$A4)</f>
        <v>7</v>
      </c>
      <c r="C4" s="12" t="n">
        <f aca="false">COUNTIFS('Internal Checklist'!$B$2:$B$63,$A4,'Internal Checklist'!$F$2:$F$63,"Answered")</f>
        <v>0</v>
      </c>
      <c r="D4" s="12" t="n">
        <f aca="false">COUNTIFS('Internal Checklist'!$B$2:$B$63,$A4,'Internal Checklist'!$F$2:$F$63,"In progress")</f>
        <v>0</v>
      </c>
      <c r="E4" s="12" t="n">
        <f aca="false">COUNTIFS('Internal Checklist'!$B$2:$B$63,$A4,'Internal Checklist'!$F$2:$F$63,"Blocked")</f>
        <v>0</v>
      </c>
      <c r="F4" s="12" t="n">
        <f aca="false">COUNTIFS('Internal Checklist'!$B$2:$B$63,$A4,'Internal Checklist'!$F$2:$F$63,"Not started")</f>
        <v>7</v>
      </c>
      <c r="G4" s="13" t="n">
        <f aca="false">IFERROR(C4/B4,0)</f>
        <v>0</v>
      </c>
      <c r="H4" s="12" t="n">
        <f aca="false">COUNTIFS('Internal Checklist'!$B$2:$B$63,$A4,'Internal Checklist'!$E$2:$E$63,"High")-COUNTIFS('Internal Checklist'!$B$2:$B$63,$A4,'Internal Checklist'!$E$2:$E$63,"High",'Internal Checklist'!$F$2:$F$63,"Answered")</f>
        <v>7</v>
      </c>
    </row>
    <row r="5" customFormat="false" ht="15" hidden="false" customHeight="false" outlineLevel="0" collapsed="false">
      <c r="A5" s="11" t="s">
        <v>58</v>
      </c>
      <c r="B5" s="12" t="n">
        <f aca="false">COUNTIFS('Internal Checklist'!$B$2:$B$63,$A5)</f>
        <v>6</v>
      </c>
      <c r="C5" s="12" t="n">
        <f aca="false">COUNTIFS('Internal Checklist'!$B$2:$B$63,$A5,'Internal Checklist'!$F$2:$F$63,"Answered")</f>
        <v>0</v>
      </c>
      <c r="D5" s="12" t="n">
        <f aca="false">COUNTIFS('Internal Checklist'!$B$2:$B$63,$A5,'Internal Checklist'!$F$2:$F$63,"In progress")</f>
        <v>0</v>
      </c>
      <c r="E5" s="12" t="n">
        <f aca="false">COUNTIFS('Internal Checklist'!$B$2:$B$63,$A5,'Internal Checklist'!$F$2:$F$63,"Blocked")</f>
        <v>0</v>
      </c>
      <c r="F5" s="12" t="n">
        <f aca="false">COUNTIFS('Internal Checklist'!$B$2:$B$63,$A5,'Internal Checklist'!$F$2:$F$63,"Not started")</f>
        <v>6</v>
      </c>
      <c r="G5" s="13" t="n">
        <f aca="false">IFERROR(C5/B5,0)</f>
        <v>0</v>
      </c>
      <c r="H5" s="12" t="n">
        <f aca="false">COUNTIFS('Internal Checklist'!$B$2:$B$63,$A5,'Internal Checklist'!$E$2:$E$63,"High")-COUNTIFS('Internal Checklist'!$B$2:$B$63,$A5,'Internal Checklist'!$E$2:$E$63,"High",'Internal Checklist'!$F$2:$F$63,"Answered")</f>
        <v>5</v>
      </c>
    </row>
    <row r="6" customFormat="false" ht="15" hidden="false" customHeight="false" outlineLevel="0" collapsed="false">
      <c r="A6" s="11" t="s">
        <v>59</v>
      </c>
      <c r="B6" s="12" t="n">
        <f aca="false">COUNTIFS('Internal Checklist'!$B$2:$B$63,$A6)</f>
        <v>5</v>
      </c>
      <c r="C6" s="12" t="n">
        <f aca="false">COUNTIFS('Internal Checklist'!$B$2:$B$63,$A6,'Internal Checklist'!$F$2:$F$63,"Answered")</f>
        <v>0</v>
      </c>
      <c r="D6" s="12" t="n">
        <f aca="false">COUNTIFS('Internal Checklist'!$B$2:$B$63,$A6,'Internal Checklist'!$F$2:$F$63,"In progress")</f>
        <v>0</v>
      </c>
      <c r="E6" s="12" t="n">
        <f aca="false">COUNTIFS('Internal Checklist'!$B$2:$B$63,$A6,'Internal Checklist'!$F$2:$F$63,"Blocked")</f>
        <v>0</v>
      </c>
      <c r="F6" s="12" t="n">
        <f aca="false">COUNTIFS('Internal Checklist'!$B$2:$B$63,$A6,'Internal Checklist'!$F$2:$F$63,"Not started")</f>
        <v>5</v>
      </c>
      <c r="G6" s="13" t="n">
        <f aca="false">IFERROR(C6/B6,0)</f>
        <v>0</v>
      </c>
      <c r="H6" s="12" t="n">
        <f aca="false">COUNTIFS('Internal Checklist'!$B$2:$B$63,$A6,'Internal Checklist'!$E$2:$E$63,"High")-COUNTIFS('Internal Checklist'!$B$2:$B$63,$A6,'Internal Checklist'!$E$2:$E$63,"High",'Internal Checklist'!$F$2:$F$63,"Answered")</f>
        <v>4</v>
      </c>
    </row>
    <row r="7" customFormat="false" ht="15" hidden="false" customHeight="false" outlineLevel="0" collapsed="false">
      <c r="A7" s="11" t="s">
        <v>60</v>
      </c>
      <c r="B7" s="12" t="n">
        <f aca="false">COUNTIFS('Internal Checklist'!$B$2:$B$63,$A7)</f>
        <v>5</v>
      </c>
      <c r="C7" s="12" t="n">
        <f aca="false">COUNTIFS('Internal Checklist'!$B$2:$B$63,$A7,'Internal Checklist'!$F$2:$F$63,"Answered")</f>
        <v>0</v>
      </c>
      <c r="D7" s="12" t="n">
        <f aca="false">COUNTIFS('Internal Checklist'!$B$2:$B$63,$A7,'Internal Checklist'!$F$2:$F$63,"In progress")</f>
        <v>0</v>
      </c>
      <c r="E7" s="12" t="n">
        <f aca="false">COUNTIFS('Internal Checklist'!$B$2:$B$63,$A7,'Internal Checklist'!$F$2:$F$63,"Blocked")</f>
        <v>0</v>
      </c>
      <c r="F7" s="12" t="n">
        <f aca="false">COUNTIFS('Internal Checklist'!$B$2:$B$63,$A7,'Internal Checklist'!$F$2:$F$63,"Not started")</f>
        <v>5</v>
      </c>
      <c r="G7" s="13" t="n">
        <f aca="false">IFERROR(C7/B7,0)</f>
        <v>0</v>
      </c>
      <c r="H7" s="12" t="n">
        <f aca="false">COUNTIFS('Internal Checklist'!$B$2:$B$63,$A7,'Internal Checklist'!$E$2:$E$63,"High")-COUNTIFS('Internal Checklist'!$B$2:$B$63,$A7,'Internal Checklist'!$E$2:$E$63,"High",'Internal Checklist'!$F$2:$F$63,"Answered")</f>
        <v>3</v>
      </c>
    </row>
    <row r="8" customFormat="false" ht="15" hidden="false" customHeight="false" outlineLevel="0" collapsed="false">
      <c r="A8" s="11" t="s">
        <v>61</v>
      </c>
      <c r="B8" s="12" t="n">
        <f aca="false">COUNTIFS('Internal Checklist'!$B$2:$B$63,$A8)</f>
        <v>5</v>
      </c>
      <c r="C8" s="12" t="n">
        <f aca="false">COUNTIFS('Internal Checklist'!$B$2:$B$63,$A8,'Internal Checklist'!$F$2:$F$63,"Answered")</f>
        <v>0</v>
      </c>
      <c r="D8" s="12" t="n">
        <f aca="false">COUNTIFS('Internal Checklist'!$B$2:$B$63,$A8,'Internal Checklist'!$F$2:$F$63,"In progress")</f>
        <v>0</v>
      </c>
      <c r="E8" s="12" t="n">
        <f aca="false">COUNTIFS('Internal Checklist'!$B$2:$B$63,$A8,'Internal Checklist'!$F$2:$F$63,"Blocked")</f>
        <v>0</v>
      </c>
      <c r="F8" s="12" t="n">
        <f aca="false">COUNTIFS('Internal Checklist'!$B$2:$B$63,$A8,'Internal Checklist'!$F$2:$F$63,"Not started")</f>
        <v>5</v>
      </c>
      <c r="G8" s="13" t="n">
        <f aca="false">IFERROR(C8/B8,0)</f>
        <v>0</v>
      </c>
      <c r="H8" s="12" t="n">
        <f aca="false">COUNTIFS('Internal Checklist'!$B$2:$B$63,$A8,'Internal Checklist'!$E$2:$E$63,"High")-COUNTIFS('Internal Checklist'!$B$2:$B$63,$A8,'Internal Checklist'!$E$2:$E$63,"High",'Internal Checklist'!$F$2:$F$63,"Answered")</f>
        <v>5</v>
      </c>
    </row>
    <row r="9" customFormat="false" ht="15" hidden="false" customHeight="false" outlineLevel="0" collapsed="false">
      <c r="A9" s="11" t="s">
        <v>62</v>
      </c>
      <c r="B9" s="12" t="n">
        <f aca="false">COUNTIFS('Internal Checklist'!$B$2:$B$63,$A9)</f>
        <v>5</v>
      </c>
      <c r="C9" s="12" t="n">
        <f aca="false">COUNTIFS('Internal Checklist'!$B$2:$B$63,$A9,'Internal Checklist'!$F$2:$F$63,"Answered")</f>
        <v>0</v>
      </c>
      <c r="D9" s="12" t="n">
        <f aca="false">COUNTIFS('Internal Checklist'!$B$2:$B$63,$A9,'Internal Checklist'!$F$2:$F$63,"In progress")</f>
        <v>0</v>
      </c>
      <c r="E9" s="12" t="n">
        <f aca="false">COUNTIFS('Internal Checklist'!$B$2:$B$63,$A9,'Internal Checklist'!$F$2:$F$63,"Blocked")</f>
        <v>0</v>
      </c>
      <c r="F9" s="12" t="n">
        <f aca="false">COUNTIFS('Internal Checklist'!$B$2:$B$63,$A9,'Internal Checklist'!$F$2:$F$63,"Not started")</f>
        <v>5</v>
      </c>
      <c r="G9" s="13" t="n">
        <f aca="false">IFERROR(C9/B9,0)</f>
        <v>0</v>
      </c>
      <c r="H9" s="12" t="n">
        <f aca="false">COUNTIFS('Internal Checklist'!$B$2:$B$63,$A9,'Internal Checklist'!$E$2:$E$63,"High")-COUNTIFS('Internal Checklist'!$B$2:$B$63,$A9,'Internal Checklist'!$E$2:$E$63,"High",'Internal Checklist'!$F$2:$F$63,"Answered")</f>
        <v>0</v>
      </c>
    </row>
    <row r="10" customFormat="false" ht="15" hidden="false" customHeight="false" outlineLevel="0" collapsed="false">
      <c r="A10" s="11" t="s">
        <v>63</v>
      </c>
      <c r="B10" s="12" t="n">
        <f aca="false">COUNTIFS('Internal Checklist'!$B$2:$B$63,$A10)</f>
        <v>5</v>
      </c>
      <c r="C10" s="12" t="n">
        <f aca="false">COUNTIFS('Internal Checklist'!$B$2:$B$63,$A10,'Internal Checklist'!$F$2:$F$63,"Answered")</f>
        <v>0</v>
      </c>
      <c r="D10" s="12" t="n">
        <f aca="false">COUNTIFS('Internal Checklist'!$B$2:$B$63,$A10,'Internal Checklist'!$F$2:$F$63,"In progress")</f>
        <v>0</v>
      </c>
      <c r="E10" s="12" t="n">
        <f aca="false">COUNTIFS('Internal Checklist'!$B$2:$B$63,$A10,'Internal Checklist'!$F$2:$F$63,"Blocked")</f>
        <v>0</v>
      </c>
      <c r="F10" s="12" t="n">
        <f aca="false">COUNTIFS('Internal Checklist'!$B$2:$B$63,$A10,'Internal Checklist'!$F$2:$F$63,"Not started")</f>
        <v>5</v>
      </c>
      <c r="G10" s="13" t="n">
        <f aca="false">IFERROR(C10/B10,0)</f>
        <v>0</v>
      </c>
      <c r="H10" s="12" t="n">
        <f aca="false">COUNTIFS('Internal Checklist'!$B$2:$B$63,$A10,'Internal Checklist'!$E$2:$E$63,"High")-COUNTIFS('Internal Checklist'!$B$2:$B$63,$A10,'Internal Checklist'!$E$2:$E$63,"High",'Internal Checklist'!$F$2:$F$63,"Answered")</f>
        <v>4</v>
      </c>
    </row>
    <row r="11" customFormat="false" ht="15" hidden="false" customHeight="false" outlineLevel="0" collapsed="false">
      <c r="A11" s="11" t="s">
        <v>64</v>
      </c>
      <c r="B11" s="12" t="n">
        <f aca="false">COUNTIFS('Internal Checklist'!$B$2:$B$63,$A11)</f>
        <v>4</v>
      </c>
      <c r="C11" s="12" t="n">
        <f aca="false">COUNTIFS('Internal Checklist'!$B$2:$B$63,$A11,'Internal Checklist'!$F$2:$F$63,"Answered")</f>
        <v>0</v>
      </c>
      <c r="D11" s="12" t="n">
        <f aca="false">COUNTIFS('Internal Checklist'!$B$2:$B$63,$A11,'Internal Checklist'!$F$2:$F$63,"In progress")</f>
        <v>0</v>
      </c>
      <c r="E11" s="12" t="n">
        <f aca="false">COUNTIFS('Internal Checklist'!$B$2:$B$63,$A11,'Internal Checklist'!$F$2:$F$63,"Blocked")</f>
        <v>0</v>
      </c>
      <c r="F11" s="12" t="n">
        <f aca="false">COUNTIFS('Internal Checklist'!$B$2:$B$63,$A11,'Internal Checklist'!$F$2:$F$63,"Not started")</f>
        <v>4</v>
      </c>
      <c r="G11" s="13" t="n">
        <f aca="false">IFERROR(C11/B11,0)</f>
        <v>0</v>
      </c>
      <c r="H11" s="12" t="n">
        <f aca="false">COUNTIFS('Internal Checklist'!$B$2:$B$63,$A11,'Internal Checklist'!$E$2:$E$63,"High")-COUNTIFS('Internal Checklist'!$B$2:$B$63,$A11,'Internal Checklist'!$E$2:$E$63,"High",'Internal Checklist'!$F$2:$F$63,"Answered")</f>
        <v>3</v>
      </c>
    </row>
    <row r="12" customFormat="false" ht="15" hidden="false" customHeight="false" outlineLevel="0" collapsed="false">
      <c r="A12" s="11" t="s">
        <v>65</v>
      </c>
      <c r="B12" s="12" t="n">
        <f aca="false">COUNTIFS('Internal Checklist'!$B$2:$B$63,$A12)</f>
        <v>3</v>
      </c>
      <c r="C12" s="12" t="n">
        <f aca="false">COUNTIFS('Internal Checklist'!$B$2:$B$63,$A12,'Internal Checklist'!$F$2:$F$63,"Answered")</f>
        <v>0</v>
      </c>
      <c r="D12" s="12" t="n">
        <f aca="false">COUNTIFS('Internal Checklist'!$B$2:$B$63,$A12,'Internal Checklist'!$F$2:$F$63,"In progress")</f>
        <v>0</v>
      </c>
      <c r="E12" s="12" t="n">
        <f aca="false">COUNTIFS('Internal Checklist'!$B$2:$B$63,$A12,'Internal Checklist'!$F$2:$F$63,"Blocked")</f>
        <v>0</v>
      </c>
      <c r="F12" s="12" t="n">
        <f aca="false">COUNTIFS('Internal Checklist'!$B$2:$B$63,$A12,'Internal Checklist'!$F$2:$F$63,"Not started")</f>
        <v>3</v>
      </c>
      <c r="G12" s="13" t="n">
        <f aca="false">IFERROR(C12/B12,0)</f>
        <v>0</v>
      </c>
      <c r="H12" s="12" t="n">
        <f aca="false">COUNTIFS('Internal Checklist'!$B$2:$B$63,$A12,'Internal Checklist'!$E$2:$E$63,"High")-COUNTIFS('Internal Checklist'!$B$2:$B$63,$A12,'Internal Checklist'!$E$2:$E$63,"High",'Internal Checklist'!$F$2:$F$63,"Answered")</f>
        <v>2</v>
      </c>
    </row>
    <row r="13" customFormat="false" ht="15" hidden="false" customHeight="false" outlineLevel="0" collapsed="false">
      <c r="A13" s="14" t="s">
        <v>66</v>
      </c>
      <c r="B13" s="15" t="n">
        <f aca="false">SUM(B2:B12)</f>
        <v>62</v>
      </c>
      <c r="C13" s="15" t="n">
        <f aca="false">SUM(C2:C12)</f>
        <v>0</v>
      </c>
      <c r="D13" s="15" t="n">
        <f aca="false">SUM(D2:D12)</f>
        <v>0</v>
      </c>
      <c r="E13" s="15" t="n">
        <f aca="false">SUM(E2:E12)</f>
        <v>0</v>
      </c>
      <c r="F13" s="15" t="n">
        <f aca="false">SUM(F2:F12)</f>
        <v>62</v>
      </c>
      <c r="G13" s="16" t="n">
        <f aca="false">IFERROR(C13/B13,0)</f>
        <v>0</v>
      </c>
      <c r="H13" s="15" t="n">
        <f aca="false">SUM(H2:H12)</f>
        <v>44</v>
      </c>
    </row>
    <row r="15" customFormat="false" ht="15" hidden="false" customHeight="false" outlineLevel="0" collapsed="false">
      <c r="A15" s="17"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62"/>
    <col collapsed="false" customWidth="true" hidden="false" outlineLevel="0" max="4" min="4" style="0" width="30"/>
    <col collapsed="false" customWidth="true" hidden="false" outlineLevel="0" max="5" min="5" style="0" width="11"/>
    <col collapsed="false" customWidth="true" hidden="false" outlineLevel="0" max="6" min="6" style="0" width="14"/>
    <col collapsed="false" customWidth="true" hidden="false" outlineLevel="0" max="7" min="7" style="0" width="42"/>
    <col collapsed="false" customWidth="true" hidden="false" outlineLevel="0" max="8" min="8" style="0" width="14"/>
    <col collapsed="false" customWidth="true" hidden="false" outlineLevel="0" max="9" min="9" style="0" width="12"/>
    <col collapsed="false" customWidth="true" hidden="false" outlineLevel="0" max="10" min="10" style="0" width="28"/>
  </cols>
  <sheetData>
    <row r="1" customFormat="false" ht="30" hidden="false" customHeight="true" outlineLevel="0" collapsed="false">
      <c r="A1" s="10" t="s">
        <v>68</v>
      </c>
      <c r="B1" s="10" t="s">
        <v>48</v>
      </c>
      <c r="C1" s="10" t="s">
        <v>21</v>
      </c>
      <c r="D1" s="10" t="s">
        <v>69</v>
      </c>
      <c r="E1" s="10" t="s">
        <v>22</v>
      </c>
      <c r="F1" s="10" t="s">
        <v>23</v>
      </c>
      <c r="G1" s="10" t="s">
        <v>24</v>
      </c>
      <c r="H1" s="10" t="s">
        <v>25</v>
      </c>
      <c r="I1" s="10" t="s">
        <v>26</v>
      </c>
      <c r="J1" s="10" t="s">
        <v>70</v>
      </c>
    </row>
    <row r="2" customFormat="false" ht="23.85" hidden="false" customHeight="false" outlineLevel="0" collapsed="false">
      <c r="A2" s="18" t="n">
        <v>1</v>
      </c>
      <c r="B2" s="8" t="s">
        <v>55</v>
      </c>
      <c r="C2" s="8" t="s">
        <v>71</v>
      </c>
      <c r="D2" s="8" t="s">
        <v>72</v>
      </c>
      <c r="E2" s="8" t="s">
        <v>29</v>
      </c>
      <c r="F2" s="9" t="s">
        <v>52</v>
      </c>
      <c r="G2" s="9"/>
      <c r="H2" s="9"/>
      <c r="I2" s="9"/>
      <c r="J2" s="9"/>
    </row>
    <row r="3" customFormat="false" ht="23.85" hidden="false" customHeight="false" outlineLevel="0" collapsed="false">
      <c r="A3" s="18" t="n">
        <v>2</v>
      </c>
      <c r="B3" s="8" t="s">
        <v>55</v>
      </c>
      <c r="C3" s="8" t="s">
        <v>73</v>
      </c>
      <c r="D3" s="8" t="s">
        <v>72</v>
      </c>
      <c r="E3" s="8" t="s">
        <v>29</v>
      </c>
      <c r="F3" s="9" t="s">
        <v>52</v>
      </c>
      <c r="G3" s="9"/>
      <c r="H3" s="9"/>
      <c r="I3" s="9"/>
      <c r="J3" s="9"/>
    </row>
    <row r="4" customFormat="false" ht="23.85" hidden="false" customHeight="false" outlineLevel="0" collapsed="false">
      <c r="A4" s="18" t="n">
        <v>3</v>
      </c>
      <c r="B4" s="8" t="s">
        <v>55</v>
      </c>
      <c r="C4" s="8" t="s">
        <v>74</v>
      </c>
      <c r="D4" s="8" t="s">
        <v>72</v>
      </c>
      <c r="E4" s="8" t="s">
        <v>29</v>
      </c>
      <c r="F4" s="9" t="s">
        <v>52</v>
      </c>
      <c r="G4" s="9"/>
      <c r="H4" s="9"/>
      <c r="I4" s="9"/>
      <c r="J4" s="9"/>
    </row>
    <row r="5" customFormat="false" ht="23.85" hidden="false" customHeight="false" outlineLevel="0" collapsed="false">
      <c r="A5" s="18" t="n">
        <v>4</v>
      </c>
      <c r="B5" s="8" t="s">
        <v>55</v>
      </c>
      <c r="C5" s="8" t="s">
        <v>75</v>
      </c>
      <c r="D5" s="8" t="s">
        <v>72</v>
      </c>
      <c r="E5" s="8" t="s">
        <v>29</v>
      </c>
      <c r="F5" s="9" t="s">
        <v>52</v>
      </c>
      <c r="G5" s="9"/>
      <c r="H5" s="9"/>
      <c r="I5" s="9"/>
      <c r="J5" s="9"/>
    </row>
    <row r="6" customFormat="false" ht="23.85" hidden="false" customHeight="false" outlineLevel="0" collapsed="false">
      <c r="A6" s="18" t="n">
        <v>5</v>
      </c>
      <c r="B6" s="8" t="s">
        <v>55</v>
      </c>
      <c r="C6" s="8" t="s">
        <v>76</v>
      </c>
      <c r="D6" s="8" t="s">
        <v>72</v>
      </c>
      <c r="E6" s="8" t="s">
        <v>77</v>
      </c>
      <c r="F6" s="9" t="s">
        <v>52</v>
      </c>
      <c r="G6" s="9"/>
      <c r="H6" s="9"/>
      <c r="I6" s="9"/>
      <c r="J6" s="9"/>
    </row>
    <row r="7" customFormat="false" ht="23.85" hidden="false" customHeight="false" outlineLevel="0" collapsed="false">
      <c r="A7" s="18" t="n">
        <v>6</v>
      </c>
      <c r="B7" s="8" t="s">
        <v>55</v>
      </c>
      <c r="C7" s="8" t="s">
        <v>78</v>
      </c>
      <c r="D7" s="8" t="s">
        <v>72</v>
      </c>
      <c r="E7" s="8" t="s">
        <v>29</v>
      </c>
      <c r="F7" s="9" t="s">
        <v>52</v>
      </c>
      <c r="G7" s="9"/>
      <c r="H7" s="9"/>
      <c r="I7" s="9"/>
      <c r="J7" s="9"/>
    </row>
    <row r="8" customFormat="false" ht="23.85" hidden="false" customHeight="false" outlineLevel="0" collapsed="false">
      <c r="A8" s="18" t="n">
        <v>7</v>
      </c>
      <c r="B8" s="8" t="s">
        <v>55</v>
      </c>
      <c r="C8" s="8" t="s">
        <v>79</v>
      </c>
      <c r="D8" s="8" t="s">
        <v>72</v>
      </c>
      <c r="E8" s="8" t="s">
        <v>77</v>
      </c>
      <c r="F8" s="9" t="s">
        <v>52</v>
      </c>
      <c r="G8" s="9"/>
      <c r="H8" s="9"/>
      <c r="I8" s="9"/>
      <c r="J8" s="9"/>
    </row>
    <row r="9" customFormat="false" ht="23.85" hidden="false" customHeight="false" outlineLevel="0" collapsed="false">
      <c r="A9" s="18" t="n">
        <v>8</v>
      </c>
      <c r="B9" s="8" t="s">
        <v>55</v>
      </c>
      <c r="C9" s="8" t="s">
        <v>80</v>
      </c>
      <c r="D9" s="8" t="s">
        <v>72</v>
      </c>
      <c r="E9" s="8" t="s">
        <v>77</v>
      </c>
      <c r="F9" s="9" t="s">
        <v>52</v>
      </c>
      <c r="G9" s="9"/>
      <c r="H9" s="9"/>
      <c r="I9" s="9"/>
      <c r="J9" s="9"/>
    </row>
    <row r="10" customFormat="false" ht="23.85" hidden="false" customHeight="false" outlineLevel="0" collapsed="false">
      <c r="A10" s="18" t="n">
        <v>9</v>
      </c>
      <c r="B10" s="8" t="s">
        <v>55</v>
      </c>
      <c r="C10" s="8" t="s">
        <v>81</v>
      </c>
      <c r="D10" s="8" t="s">
        <v>72</v>
      </c>
      <c r="E10" s="8" t="s">
        <v>29</v>
      </c>
      <c r="F10" s="9" t="s">
        <v>52</v>
      </c>
      <c r="G10" s="9"/>
      <c r="H10" s="9"/>
      <c r="I10" s="9"/>
      <c r="J10" s="9"/>
    </row>
    <row r="11" customFormat="false" ht="23.85" hidden="false" customHeight="false" outlineLevel="0" collapsed="false">
      <c r="A11" s="18" t="n">
        <v>10</v>
      </c>
      <c r="B11" s="8" t="s">
        <v>55</v>
      </c>
      <c r="C11" s="8" t="s">
        <v>82</v>
      </c>
      <c r="D11" s="8" t="s">
        <v>72</v>
      </c>
      <c r="E11" s="8" t="s">
        <v>29</v>
      </c>
      <c r="F11" s="9" t="s">
        <v>52</v>
      </c>
      <c r="G11" s="9"/>
      <c r="H11" s="9"/>
      <c r="I11" s="9"/>
      <c r="J11" s="9"/>
    </row>
    <row r="12" customFormat="false" ht="23.85" hidden="false" customHeight="false" outlineLevel="0" collapsed="false">
      <c r="A12" s="18" t="n">
        <v>11</v>
      </c>
      <c r="B12" s="8" t="s">
        <v>56</v>
      </c>
      <c r="C12" s="8" t="s">
        <v>83</v>
      </c>
      <c r="D12" s="8" t="s">
        <v>84</v>
      </c>
      <c r="E12" s="8" t="s">
        <v>29</v>
      </c>
      <c r="F12" s="9" t="s">
        <v>52</v>
      </c>
      <c r="G12" s="9"/>
      <c r="H12" s="9"/>
      <c r="I12" s="9"/>
      <c r="J12" s="9"/>
    </row>
    <row r="13" customFormat="false" ht="23.85" hidden="false" customHeight="false" outlineLevel="0" collapsed="false">
      <c r="A13" s="18" t="n">
        <v>12</v>
      </c>
      <c r="B13" s="8" t="s">
        <v>56</v>
      </c>
      <c r="C13" s="8" t="s">
        <v>85</v>
      </c>
      <c r="D13" s="8" t="s">
        <v>84</v>
      </c>
      <c r="E13" s="8" t="s">
        <v>29</v>
      </c>
      <c r="F13" s="9" t="s">
        <v>52</v>
      </c>
      <c r="G13" s="9"/>
      <c r="H13" s="9"/>
      <c r="I13" s="9"/>
      <c r="J13" s="9"/>
    </row>
    <row r="14" customFormat="false" ht="23.85" hidden="false" customHeight="false" outlineLevel="0" collapsed="false">
      <c r="A14" s="18" t="n">
        <v>13</v>
      </c>
      <c r="B14" s="8" t="s">
        <v>56</v>
      </c>
      <c r="C14" s="8" t="s">
        <v>86</v>
      </c>
      <c r="D14" s="8" t="s">
        <v>84</v>
      </c>
      <c r="E14" s="8" t="s">
        <v>29</v>
      </c>
      <c r="F14" s="9" t="s">
        <v>52</v>
      </c>
      <c r="G14" s="9"/>
      <c r="H14" s="9"/>
      <c r="I14" s="9"/>
      <c r="J14" s="9"/>
    </row>
    <row r="15" customFormat="false" ht="23.85" hidden="false" customHeight="false" outlineLevel="0" collapsed="false">
      <c r="A15" s="18" t="n">
        <v>14</v>
      </c>
      <c r="B15" s="8" t="s">
        <v>56</v>
      </c>
      <c r="C15" s="8" t="s">
        <v>87</v>
      </c>
      <c r="D15" s="8" t="s">
        <v>84</v>
      </c>
      <c r="E15" s="8" t="s">
        <v>29</v>
      </c>
      <c r="F15" s="9" t="s">
        <v>52</v>
      </c>
      <c r="G15" s="9"/>
      <c r="H15" s="9"/>
      <c r="I15" s="9"/>
      <c r="J15" s="9"/>
    </row>
    <row r="16" customFormat="false" ht="15" hidden="false" customHeight="false" outlineLevel="0" collapsed="false">
      <c r="A16" s="18" t="n">
        <v>15</v>
      </c>
      <c r="B16" s="8" t="s">
        <v>56</v>
      </c>
      <c r="C16" s="8" t="s">
        <v>88</v>
      </c>
      <c r="D16" s="8" t="s">
        <v>84</v>
      </c>
      <c r="E16" s="8" t="s">
        <v>77</v>
      </c>
      <c r="F16" s="9" t="s">
        <v>52</v>
      </c>
      <c r="G16" s="9"/>
      <c r="H16" s="9"/>
      <c r="I16" s="9"/>
      <c r="J16" s="9"/>
    </row>
    <row r="17" customFormat="false" ht="15" hidden="false" customHeight="false" outlineLevel="0" collapsed="false">
      <c r="A17" s="18" t="n">
        <v>16</v>
      </c>
      <c r="B17" s="8" t="s">
        <v>56</v>
      </c>
      <c r="C17" s="8" t="s">
        <v>89</v>
      </c>
      <c r="D17" s="8" t="s">
        <v>84</v>
      </c>
      <c r="E17" s="8" t="s">
        <v>77</v>
      </c>
      <c r="F17" s="9" t="s">
        <v>52</v>
      </c>
      <c r="G17" s="9"/>
      <c r="H17" s="9"/>
      <c r="I17" s="9"/>
      <c r="J17" s="9"/>
    </row>
    <row r="18" customFormat="false" ht="15" hidden="false" customHeight="false" outlineLevel="0" collapsed="false">
      <c r="A18" s="18" t="n">
        <v>17</v>
      </c>
      <c r="B18" s="8" t="s">
        <v>56</v>
      </c>
      <c r="C18" s="8" t="s">
        <v>90</v>
      </c>
      <c r="D18" s="8" t="s">
        <v>84</v>
      </c>
      <c r="E18" s="8" t="s">
        <v>77</v>
      </c>
      <c r="F18" s="9" t="s">
        <v>52</v>
      </c>
      <c r="G18" s="9"/>
      <c r="H18" s="9"/>
      <c r="I18" s="9"/>
      <c r="J18" s="9"/>
    </row>
    <row r="19" customFormat="false" ht="23.85" hidden="false" customHeight="false" outlineLevel="0" collapsed="false">
      <c r="A19" s="18" t="n">
        <v>18</v>
      </c>
      <c r="B19" s="8" t="s">
        <v>57</v>
      </c>
      <c r="C19" s="8" t="s">
        <v>91</v>
      </c>
      <c r="D19" s="8" t="s">
        <v>92</v>
      </c>
      <c r="E19" s="8" t="s">
        <v>29</v>
      </c>
      <c r="F19" s="9" t="s">
        <v>52</v>
      </c>
      <c r="G19" s="9"/>
      <c r="H19" s="9"/>
      <c r="I19" s="9"/>
      <c r="J19" s="9"/>
    </row>
    <row r="20" customFormat="false" ht="23.85" hidden="false" customHeight="false" outlineLevel="0" collapsed="false">
      <c r="A20" s="18" t="n">
        <v>19</v>
      </c>
      <c r="B20" s="8" t="s">
        <v>57</v>
      </c>
      <c r="C20" s="8" t="s">
        <v>93</v>
      </c>
      <c r="D20" s="8" t="s">
        <v>92</v>
      </c>
      <c r="E20" s="8" t="s">
        <v>29</v>
      </c>
      <c r="F20" s="9" t="s">
        <v>52</v>
      </c>
      <c r="G20" s="9"/>
      <c r="H20" s="9"/>
      <c r="I20" s="9"/>
      <c r="J20" s="9"/>
    </row>
    <row r="21" customFormat="false" ht="23.85" hidden="false" customHeight="false" outlineLevel="0" collapsed="false">
      <c r="A21" s="18" t="n">
        <v>20</v>
      </c>
      <c r="B21" s="8" t="s">
        <v>57</v>
      </c>
      <c r="C21" s="8" t="s">
        <v>94</v>
      </c>
      <c r="D21" s="8" t="s">
        <v>92</v>
      </c>
      <c r="E21" s="8" t="s">
        <v>29</v>
      </c>
      <c r="F21" s="9" t="s">
        <v>52</v>
      </c>
      <c r="G21" s="9"/>
      <c r="H21" s="9"/>
      <c r="I21" s="9"/>
      <c r="J21" s="9"/>
    </row>
    <row r="22" customFormat="false" ht="23.85" hidden="false" customHeight="false" outlineLevel="0" collapsed="false">
      <c r="A22" s="18" t="n">
        <v>21</v>
      </c>
      <c r="B22" s="8" t="s">
        <v>57</v>
      </c>
      <c r="C22" s="8" t="s">
        <v>95</v>
      </c>
      <c r="D22" s="8" t="s">
        <v>92</v>
      </c>
      <c r="E22" s="8" t="s">
        <v>29</v>
      </c>
      <c r="F22" s="9" t="s">
        <v>52</v>
      </c>
      <c r="G22" s="9"/>
      <c r="H22" s="9"/>
      <c r="I22" s="9"/>
      <c r="J22" s="9"/>
    </row>
    <row r="23" customFormat="false" ht="23.85" hidden="false" customHeight="false" outlineLevel="0" collapsed="false">
      <c r="A23" s="18" t="n">
        <v>22</v>
      </c>
      <c r="B23" s="8" t="s">
        <v>57</v>
      </c>
      <c r="C23" s="8" t="s">
        <v>96</v>
      </c>
      <c r="D23" s="8" t="s">
        <v>92</v>
      </c>
      <c r="E23" s="8" t="s">
        <v>29</v>
      </c>
      <c r="F23" s="9" t="s">
        <v>52</v>
      </c>
      <c r="G23" s="9"/>
      <c r="H23" s="9"/>
      <c r="I23" s="9"/>
      <c r="J23" s="9"/>
    </row>
    <row r="24" customFormat="false" ht="23.85" hidden="false" customHeight="false" outlineLevel="0" collapsed="false">
      <c r="A24" s="18" t="n">
        <v>23</v>
      </c>
      <c r="B24" s="8" t="s">
        <v>57</v>
      </c>
      <c r="C24" s="8" t="s">
        <v>97</v>
      </c>
      <c r="D24" s="8" t="s">
        <v>92</v>
      </c>
      <c r="E24" s="8" t="s">
        <v>29</v>
      </c>
      <c r="F24" s="9" t="s">
        <v>52</v>
      </c>
      <c r="G24" s="9"/>
      <c r="H24" s="9"/>
      <c r="I24" s="9"/>
      <c r="J24" s="9"/>
    </row>
    <row r="25" customFormat="false" ht="23.85" hidden="false" customHeight="false" outlineLevel="0" collapsed="false">
      <c r="A25" s="18" t="n">
        <v>24</v>
      </c>
      <c r="B25" s="8" t="s">
        <v>57</v>
      </c>
      <c r="C25" s="8" t="s">
        <v>98</v>
      </c>
      <c r="D25" s="8" t="s">
        <v>92</v>
      </c>
      <c r="E25" s="8" t="s">
        <v>29</v>
      </c>
      <c r="F25" s="9" t="s">
        <v>52</v>
      </c>
      <c r="G25" s="9"/>
      <c r="H25" s="9"/>
      <c r="I25" s="9"/>
      <c r="J25" s="9"/>
    </row>
    <row r="26" customFormat="false" ht="23.85" hidden="false" customHeight="false" outlineLevel="0" collapsed="false">
      <c r="A26" s="18" t="n">
        <v>25</v>
      </c>
      <c r="B26" s="8" t="s">
        <v>58</v>
      </c>
      <c r="C26" s="8" t="s">
        <v>99</v>
      </c>
      <c r="D26" s="8" t="s">
        <v>100</v>
      </c>
      <c r="E26" s="8" t="s">
        <v>29</v>
      </c>
      <c r="F26" s="9" t="s">
        <v>52</v>
      </c>
      <c r="G26" s="9"/>
      <c r="H26" s="9"/>
      <c r="I26" s="9"/>
      <c r="J26" s="9"/>
    </row>
    <row r="27" customFormat="false" ht="15" hidden="false" customHeight="false" outlineLevel="0" collapsed="false">
      <c r="A27" s="18" t="n">
        <v>26</v>
      </c>
      <c r="B27" s="8" t="s">
        <v>58</v>
      </c>
      <c r="C27" s="8" t="s">
        <v>101</v>
      </c>
      <c r="D27" s="8" t="s">
        <v>100</v>
      </c>
      <c r="E27" s="8" t="s">
        <v>29</v>
      </c>
      <c r="F27" s="9" t="s">
        <v>52</v>
      </c>
      <c r="G27" s="9"/>
      <c r="H27" s="9"/>
      <c r="I27" s="9"/>
      <c r="J27" s="9"/>
    </row>
    <row r="28" customFormat="false" ht="15" hidden="false" customHeight="false" outlineLevel="0" collapsed="false">
      <c r="A28" s="18" t="n">
        <v>27</v>
      </c>
      <c r="B28" s="8" t="s">
        <v>58</v>
      </c>
      <c r="C28" s="8" t="s">
        <v>102</v>
      </c>
      <c r="D28" s="8" t="s">
        <v>100</v>
      </c>
      <c r="E28" s="8" t="s">
        <v>29</v>
      </c>
      <c r="F28" s="9" t="s">
        <v>52</v>
      </c>
      <c r="G28" s="9"/>
      <c r="H28" s="9"/>
      <c r="I28" s="9"/>
      <c r="J28" s="9"/>
    </row>
    <row r="29" customFormat="false" ht="15" hidden="false" customHeight="false" outlineLevel="0" collapsed="false">
      <c r="A29" s="18" t="n">
        <v>28</v>
      </c>
      <c r="B29" s="8" t="s">
        <v>58</v>
      </c>
      <c r="C29" s="8" t="s">
        <v>103</v>
      </c>
      <c r="D29" s="8" t="s">
        <v>100</v>
      </c>
      <c r="E29" s="8" t="s">
        <v>77</v>
      </c>
      <c r="F29" s="9" t="s">
        <v>52</v>
      </c>
      <c r="G29" s="9"/>
      <c r="H29" s="9"/>
      <c r="I29" s="9"/>
      <c r="J29" s="9"/>
    </row>
    <row r="30" customFormat="false" ht="15" hidden="false" customHeight="false" outlineLevel="0" collapsed="false">
      <c r="A30" s="18" t="n">
        <v>29</v>
      </c>
      <c r="B30" s="8" t="s">
        <v>58</v>
      </c>
      <c r="C30" s="8" t="s">
        <v>104</v>
      </c>
      <c r="D30" s="8" t="s">
        <v>100</v>
      </c>
      <c r="E30" s="8" t="s">
        <v>29</v>
      </c>
      <c r="F30" s="9" t="s">
        <v>52</v>
      </c>
      <c r="G30" s="9"/>
      <c r="H30" s="9"/>
      <c r="I30" s="9"/>
      <c r="J30" s="9"/>
    </row>
    <row r="31" customFormat="false" ht="15" hidden="false" customHeight="false" outlineLevel="0" collapsed="false">
      <c r="A31" s="18" t="n">
        <v>30</v>
      </c>
      <c r="B31" s="8" t="s">
        <v>58</v>
      </c>
      <c r="C31" s="8" t="s">
        <v>105</v>
      </c>
      <c r="D31" s="8" t="s">
        <v>100</v>
      </c>
      <c r="E31" s="8" t="s">
        <v>29</v>
      </c>
      <c r="F31" s="9" t="s">
        <v>52</v>
      </c>
      <c r="G31" s="9"/>
      <c r="H31" s="9"/>
      <c r="I31" s="9"/>
      <c r="J31" s="9"/>
    </row>
    <row r="32" customFormat="false" ht="23.85" hidden="false" customHeight="false" outlineLevel="0" collapsed="false">
      <c r="A32" s="18" t="n">
        <v>31</v>
      </c>
      <c r="B32" s="8" t="s">
        <v>59</v>
      </c>
      <c r="C32" s="8" t="s">
        <v>106</v>
      </c>
      <c r="D32" s="8" t="s">
        <v>107</v>
      </c>
      <c r="E32" s="8" t="s">
        <v>29</v>
      </c>
      <c r="F32" s="9" t="s">
        <v>52</v>
      </c>
      <c r="G32" s="9"/>
      <c r="H32" s="9"/>
      <c r="I32" s="9"/>
      <c r="J32" s="9"/>
    </row>
    <row r="33" customFormat="false" ht="23.85" hidden="false" customHeight="false" outlineLevel="0" collapsed="false">
      <c r="A33" s="18" t="n">
        <v>32</v>
      </c>
      <c r="B33" s="8" t="s">
        <v>59</v>
      </c>
      <c r="C33" s="8" t="s">
        <v>108</v>
      </c>
      <c r="D33" s="8" t="s">
        <v>107</v>
      </c>
      <c r="E33" s="8" t="s">
        <v>29</v>
      </c>
      <c r="F33" s="9" t="s">
        <v>52</v>
      </c>
      <c r="G33" s="9"/>
      <c r="H33" s="9"/>
      <c r="I33" s="9"/>
      <c r="J33" s="9"/>
    </row>
    <row r="34" customFormat="false" ht="23.85" hidden="false" customHeight="false" outlineLevel="0" collapsed="false">
      <c r="A34" s="18" t="n">
        <v>33</v>
      </c>
      <c r="B34" s="8" t="s">
        <v>59</v>
      </c>
      <c r="C34" s="8" t="s">
        <v>109</v>
      </c>
      <c r="D34" s="8" t="s">
        <v>107</v>
      </c>
      <c r="E34" s="8" t="s">
        <v>29</v>
      </c>
      <c r="F34" s="9" t="s">
        <v>52</v>
      </c>
      <c r="G34" s="9"/>
      <c r="H34" s="9"/>
      <c r="I34" s="9"/>
      <c r="J34" s="9"/>
    </row>
    <row r="35" customFormat="false" ht="23.85" hidden="false" customHeight="false" outlineLevel="0" collapsed="false">
      <c r="A35" s="18" t="n">
        <v>34</v>
      </c>
      <c r="B35" s="8" t="s">
        <v>59</v>
      </c>
      <c r="C35" s="8" t="s">
        <v>110</v>
      </c>
      <c r="D35" s="8" t="s">
        <v>107</v>
      </c>
      <c r="E35" s="8" t="s">
        <v>77</v>
      </c>
      <c r="F35" s="9" t="s">
        <v>52</v>
      </c>
      <c r="G35" s="9"/>
      <c r="H35" s="9"/>
      <c r="I35" s="9"/>
      <c r="J35" s="9"/>
    </row>
    <row r="36" customFormat="false" ht="23.85" hidden="false" customHeight="false" outlineLevel="0" collapsed="false">
      <c r="A36" s="18" t="n">
        <v>35</v>
      </c>
      <c r="B36" s="8" t="s">
        <v>59</v>
      </c>
      <c r="C36" s="8" t="s">
        <v>111</v>
      </c>
      <c r="D36" s="8" t="s">
        <v>107</v>
      </c>
      <c r="E36" s="8" t="s">
        <v>29</v>
      </c>
      <c r="F36" s="9" t="s">
        <v>52</v>
      </c>
      <c r="G36" s="9"/>
      <c r="H36" s="9"/>
      <c r="I36" s="9"/>
      <c r="J36" s="9"/>
    </row>
    <row r="37" customFormat="false" ht="15" hidden="false" customHeight="false" outlineLevel="0" collapsed="false">
      <c r="A37" s="18" t="n">
        <v>36</v>
      </c>
      <c r="B37" s="8" t="s">
        <v>60</v>
      </c>
      <c r="C37" s="8" t="s">
        <v>112</v>
      </c>
      <c r="D37" s="8" t="s">
        <v>113</v>
      </c>
      <c r="E37" s="8" t="s">
        <v>29</v>
      </c>
      <c r="F37" s="9" t="s">
        <v>52</v>
      </c>
      <c r="G37" s="9"/>
      <c r="H37" s="9"/>
      <c r="I37" s="9"/>
      <c r="J37" s="9"/>
    </row>
    <row r="38" customFormat="false" ht="23.85" hidden="false" customHeight="false" outlineLevel="0" collapsed="false">
      <c r="A38" s="18" t="n">
        <v>37</v>
      </c>
      <c r="B38" s="8" t="s">
        <v>60</v>
      </c>
      <c r="C38" s="8" t="s">
        <v>114</v>
      </c>
      <c r="D38" s="8" t="s">
        <v>113</v>
      </c>
      <c r="E38" s="8" t="s">
        <v>29</v>
      </c>
      <c r="F38" s="9" t="s">
        <v>52</v>
      </c>
      <c r="G38" s="9"/>
      <c r="H38" s="9"/>
      <c r="I38" s="9"/>
      <c r="J38" s="9"/>
    </row>
    <row r="39" customFormat="false" ht="15" hidden="false" customHeight="false" outlineLevel="0" collapsed="false">
      <c r="A39" s="18" t="n">
        <v>38</v>
      </c>
      <c r="B39" s="8" t="s">
        <v>60</v>
      </c>
      <c r="C39" s="8" t="s">
        <v>115</v>
      </c>
      <c r="D39" s="8" t="s">
        <v>113</v>
      </c>
      <c r="E39" s="8" t="s">
        <v>29</v>
      </c>
      <c r="F39" s="9" t="s">
        <v>52</v>
      </c>
      <c r="G39" s="9"/>
      <c r="H39" s="9"/>
      <c r="I39" s="9"/>
      <c r="J39" s="9"/>
    </row>
    <row r="40" customFormat="false" ht="15" hidden="false" customHeight="false" outlineLevel="0" collapsed="false">
      <c r="A40" s="18" t="n">
        <v>39</v>
      </c>
      <c r="B40" s="8" t="s">
        <v>60</v>
      </c>
      <c r="C40" s="8" t="s">
        <v>116</v>
      </c>
      <c r="D40" s="8" t="s">
        <v>113</v>
      </c>
      <c r="E40" s="8" t="s">
        <v>77</v>
      </c>
      <c r="F40" s="9" t="s">
        <v>52</v>
      </c>
      <c r="G40" s="9"/>
      <c r="H40" s="9"/>
      <c r="I40" s="9"/>
      <c r="J40" s="9"/>
    </row>
    <row r="41" customFormat="false" ht="15" hidden="false" customHeight="false" outlineLevel="0" collapsed="false">
      <c r="A41" s="18" t="n">
        <v>40</v>
      </c>
      <c r="B41" s="8" t="s">
        <v>60</v>
      </c>
      <c r="C41" s="8" t="s">
        <v>117</v>
      </c>
      <c r="D41" s="8" t="s">
        <v>113</v>
      </c>
      <c r="E41" s="8" t="s">
        <v>77</v>
      </c>
      <c r="F41" s="9" t="s">
        <v>52</v>
      </c>
      <c r="G41" s="9"/>
      <c r="H41" s="9"/>
      <c r="I41" s="9"/>
      <c r="J41" s="9"/>
    </row>
    <row r="42" customFormat="false" ht="23.85" hidden="false" customHeight="false" outlineLevel="0" collapsed="false">
      <c r="A42" s="18" t="n">
        <v>41</v>
      </c>
      <c r="B42" s="8" t="s">
        <v>61</v>
      </c>
      <c r="C42" s="8" t="s">
        <v>118</v>
      </c>
      <c r="D42" s="8" t="s">
        <v>119</v>
      </c>
      <c r="E42" s="8" t="s">
        <v>29</v>
      </c>
      <c r="F42" s="9" t="s">
        <v>52</v>
      </c>
      <c r="G42" s="9"/>
      <c r="H42" s="9"/>
      <c r="I42" s="9"/>
      <c r="J42" s="9"/>
    </row>
    <row r="43" customFormat="false" ht="23.85" hidden="false" customHeight="false" outlineLevel="0" collapsed="false">
      <c r="A43" s="18" t="n">
        <v>42</v>
      </c>
      <c r="B43" s="8" t="s">
        <v>61</v>
      </c>
      <c r="C43" s="8" t="s">
        <v>120</v>
      </c>
      <c r="D43" s="8" t="s">
        <v>119</v>
      </c>
      <c r="E43" s="8" t="s">
        <v>29</v>
      </c>
      <c r="F43" s="9" t="s">
        <v>52</v>
      </c>
      <c r="G43" s="9"/>
      <c r="H43" s="9"/>
      <c r="I43" s="9"/>
      <c r="J43" s="9"/>
    </row>
    <row r="44" customFormat="false" ht="23.85" hidden="false" customHeight="false" outlineLevel="0" collapsed="false">
      <c r="A44" s="18" t="n">
        <v>43</v>
      </c>
      <c r="B44" s="8" t="s">
        <v>61</v>
      </c>
      <c r="C44" s="8" t="s">
        <v>121</v>
      </c>
      <c r="D44" s="8" t="s">
        <v>119</v>
      </c>
      <c r="E44" s="8" t="s">
        <v>29</v>
      </c>
      <c r="F44" s="9" t="s">
        <v>52</v>
      </c>
      <c r="G44" s="9"/>
      <c r="H44" s="9"/>
      <c r="I44" s="9"/>
      <c r="J44" s="9"/>
    </row>
    <row r="45" customFormat="false" ht="23.85" hidden="false" customHeight="false" outlineLevel="0" collapsed="false">
      <c r="A45" s="18" t="n">
        <v>44</v>
      </c>
      <c r="B45" s="8" t="s">
        <v>61</v>
      </c>
      <c r="C45" s="8" t="s">
        <v>122</v>
      </c>
      <c r="D45" s="8" t="s">
        <v>119</v>
      </c>
      <c r="E45" s="8" t="s">
        <v>29</v>
      </c>
      <c r="F45" s="9" t="s">
        <v>52</v>
      </c>
      <c r="G45" s="9"/>
      <c r="H45" s="9"/>
      <c r="I45" s="9"/>
      <c r="J45" s="9"/>
    </row>
    <row r="46" customFormat="false" ht="23.85" hidden="false" customHeight="false" outlineLevel="0" collapsed="false">
      <c r="A46" s="18" t="n">
        <v>45</v>
      </c>
      <c r="B46" s="8" t="s">
        <v>61</v>
      </c>
      <c r="C46" s="8" t="s">
        <v>123</v>
      </c>
      <c r="D46" s="8" t="s">
        <v>119</v>
      </c>
      <c r="E46" s="8" t="s">
        <v>29</v>
      </c>
      <c r="F46" s="9" t="s">
        <v>52</v>
      </c>
      <c r="G46" s="9"/>
      <c r="H46" s="9"/>
      <c r="I46" s="9"/>
      <c r="J46" s="9"/>
    </row>
    <row r="47" customFormat="false" ht="15" hidden="false" customHeight="false" outlineLevel="0" collapsed="false">
      <c r="A47" s="18" t="n">
        <v>46</v>
      </c>
      <c r="B47" s="8" t="s">
        <v>62</v>
      </c>
      <c r="C47" s="8" t="s">
        <v>124</v>
      </c>
      <c r="D47" s="8" t="s">
        <v>125</v>
      </c>
      <c r="E47" s="8" t="s">
        <v>77</v>
      </c>
      <c r="F47" s="9" t="s">
        <v>52</v>
      </c>
      <c r="G47" s="9"/>
      <c r="H47" s="9"/>
      <c r="I47" s="9"/>
      <c r="J47" s="9"/>
    </row>
    <row r="48" customFormat="false" ht="15" hidden="false" customHeight="false" outlineLevel="0" collapsed="false">
      <c r="A48" s="18" t="n">
        <v>47</v>
      </c>
      <c r="B48" s="8" t="s">
        <v>62</v>
      </c>
      <c r="C48" s="8" t="s">
        <v>126</v>
      </c>
      <c r="D48" s="8" t="s">
        <v>125</v>
      </c>
      <c r="E48" s="8" t="s">
        <v>77</v>
      </c>
      <c r="F48" s="9" t="s">
        <v>52</v>
      </c>
      <c r="G48" s="9"/>
      <c r="H48" s="9"/>
      <c r="I48" s="9"/>
      <c r="J48" s="9"/>
    </row>
    <row r="49" customFormat="false" ht="15" hidden="false" customHeight="false" outlineLevel="0" collapsed="false">
      <c r="A49" s="18" t="n">
        <v>48</v>
      </c>
      <c r="B49" s="8" t="s">
        <v>62</v>
      </c>
      <c r="C49" s="8" t="s">
        <v>127</v>
      </c>
      <c r="D49" s="8" t="s">
        <v>125</v>
      </c>
      <c r="E49" s="8" t="s">
        <v>128</v>
      </c>
      <c r="F49" s="9" t="s">
        <v>52</v>
      </c>
      <c r="G49" s="9"/>
      <c r="H49" s="9"/>
      <c r="I49" s="9"/>
      <c r="J49" s="9"/>
    </row>
    <row r="50" customFormat="false" ht="15" hidden="false" customHeight="false" outlineLevel="0" collapsed="false">
      <c r="A50" s="18" t="n">
        <v>49</v>
      </c>
      <c r="B50" s="8" t="s">
        <v>62</v>
      </c>
      <c r="C50" s="8" t="s">
        <v>129</v>
      </c>
      <c r="D50" s="8" t="s">
        <v>125</v>
      </c>
      <c r="E50" s="8" t="s">
        <v>77</v>
      </c>
      <c r="F50" s="9" t="s">
        <v>52</v>
      </c>
      <c r="G50" s="9"/>
      <c r="H50" s="9"/>
      <c r="I50" s="9"/>
      <c r="J50" s="9"/>
    </row>
    <row r="51" customFormat="false" ht="15" hidden="false" customHeight="false" outlineLevel="0" collapsed="false">
      <c r="A51" s="18" t="n">
        <v>50</v>
      </c>
      <c r="B51" s="8" t="s">
        <v>62</v>
      </c>
      <c r="C51" s="8" t="s">
        <v>130</v>
      </c>
      <c r="D51" s="8" t="s">
        <v>125</v>
      </c>
      <c r="E51" s="8" t="s">
        <v>128</v>
      </c>
      <c r="F51" s="9" t="s">
        <v>52</v>
      </c>
      <c r="G51" s="9"/>
      <c r="H51" s="9"/>
      <c r="I51" s="9"/>
      <c r="J51" s="9"/>
    </row>
    <row r="52" customFormat="false" ht="15" hidden="false" customHeight="false" outlineLevel="0" collapsed="false">
      <c r="A52" s="18" t="n">
        <v>51</v>
      </c>
      <c r="B52" s="8" t="s">
        <v>63</v>
      </c>
      <c r="C52" s="8" t="s">
        <v>131</v>
      </c>
      <c r="D52" s="8" t="s">
        <v>132</v>
      </c>
      <c r="E52" s="8" t="s">
        <v>29</v>
      </c>
      <c r="F52" s="9" t="s">
        <v>52</v>
      </c>
      <c r="G52" s="9"/>
      <c r="H52" s="9"/>
      <c r="I52" s="9"/>
      <c r="J52" s="9"/>
    </row>
    <row r="53" customFormat="false" ht="15" hidden="false" customHeight="false" outlineLevel="0" collapsed="false">
      <c r="A53" s="18" t="n">
        <v>52</v>
      </c>
      <c r="B53" s="8" t="s">
        <v>63</v>
      </c>
      <c r="C53" s="8" t="s">
        <v>133</v>
      </c>
      <c r="D53" s="8" t="s">
        <v>132</v>
      </c>
      <c r="E53" s="8" t="s">
        <v>29</v>
      </c>
      <c r="F53" s="9" t="s">
        <v>52</v>
      </c>
      <c r="G53" s="9"/>
      <c r="H53" s="9"/>
      <c r="I53" s="9"/>
      <c r="J53" s="9"/>
    </row>
    <row r="54" customFormat="false" ht="15" hidden="false" customHeight="false" outlineLevel="0" collapsed="false">
      <c r="A54" s="18" t="n">
        <v>53</v>
      </c>
      <c r="B54" s="8" t="s">
        <v>63</v>
      </c>
      <c r="C54" s="8" t="s">
        <v>134</v>
      </c>
      <c r="D54" s="8" t="s">
        <v>132</v>
      </c>
      <c r="E54" s="8" t="s">
        <v>77</v>
      </c>
      <c r="F54" s="9" t="s">
        <v>52</v>
      </c>
      <c r="G54" s="9"/>
      <c r="H54" s="9"/>
      <c r="I54" s="9"/>
      <c r="J54" s="9"/>
    </row>
    <row r="55" customFormat="false" ht="23.85" hidden="false" customHeight="false" outlineLevel="0" collapsed="false">
      <c r="A55" s="18" t="n">
        <v>54</v>
      </c>
      <c r="B55" s="8" t="s">
        <v>63</v>
      </c>
      <c r="C55" s="8" t="s">
        <v>135</v>
      </c>
      <c r="D55" s="8" t="s">
        <v>132</v>
      </c>
      <c r="E55" s="8" t="s">
        <v>29</v>
      </c>
      <c r="F55" s="9" t="s">
        <v>52</v>
      </c>
      <c r="G55" s="9"/>
      <c r="H55" s="9"/>
      <c r="I55" s="9"/>
      <c r="J55" s="9"/>
    </row>
    <row r="56" customFormat="false" ht="15" hidden="false" customHeight="false" outlineLevel="0" collapsed="false">
      <c r="A56" s="18" t="n">
        <v>55</v>
      </c>
      <c r="B56" s="8" t="s">
        <v>63</v>
      </c>
      <c r="C56" s="8" t="s">
        <v>136</v>
      </c>
      <c r="D56" s="8" t="s">
        <v>132</v>
      </c>
      <c r="E56" s="8" t="s">
        <v>29</v>
      </c>
      <c r="F56" s="9" t="s">
        <v>52</v>
      </c>
      <c r="G56" s="9"/>
      <c r="H56" s="9"/>
      <c r="I56" s="9"/>
      <c r="J56" s="9"/>
    </row>
    <row r="57" customFormat="false" ht="15" hidden="false" customHeight="false" outlineLevel="0" collapsed="false">
      <c r="A57" s="18" t="n">
        <v>56</v>
      </c>
      <c r="B57" s="8" t="s">
        <v>64</v>
      </c>
      <c r="C57" s="8" t="s">
        <v>137</v>
      </c>
      <c r="D57" s="8" t="s">
        <v>138</v>
      </c>
      <c r="E57" s="8" t="s">
        <v>29</v>
      </c>
      <c r="F57" s="9" t="s">
        <v>52</v>
      </c>
      <c r="G57" s="9"/>
      <c r="H57" s="9"/>
      <c r="I57" s="9"/>
      <c r="J57" s="9"/>
    </row>
    <row r="58" customFormat="false" ht="15" hidden="false" customHeight="false" outlineLevel="0" collapsed="false">
      <c r="A58" s="18" t="n">
        <v>57</v>
      </c>
      <c r="B58" s="8" t="s">
        <v>64</v>
      </c>
      <c r="C58" s="8" t="s">
        <v>139</v>
      </c>
      <c r="D58" s="8" t="s">
        <v>138</v>
      </c>
      <c r="E58" s="8" t="s">
        <v>29</v>
      </c>
      <c r="F58" s="9" t="s">
        <v>52</v>
      </c>
      <c r="G58" s="9"/>
      <c r="H58" s="9"/>
      <c r="I58" s="9"/>
      <c r="J58" s="9"/>
    </row>
    <row r="59" customFormat="false" ht="15" hidden="false" customHeight="false" outlineLevel="0" collapsed="false">
      <c r="A59" s="18" t="n">
        <v>58</v>
      </c>
      <c r="B59" s="8" t="s">
        <v>64</v>
      </c>
      <c r="C59" s="8" t="s">
        <v>140</v>
      </c>
      <c r="D59" s="8" t="s">
        <v>138</v>
      </c>
      <c r="E59" s="8" t="s">
        <v>77</v>
      </c>
      <c r="F59" s="9" t="s">
        <v>52</v>
      </c>
      <c r="G59" s="9"/>
      <c r="H59" s="9"/>
      <c r="I59" s="9"/>
      <c r="J59" s="9"/>
    </row>
    <row r="60" customFormat="false" ht="23.85" hidden="false" customHeight="false" outlineLevel="0" collapsed="false">
      <c r="A60" s="18" t="n">
        <v>59</v>
      </c>
      <c r="B60" s="8" t="s">
        <v>64</v>
      </c>
      <c r="C60" s="8" t="s">
        <v>141</v>
      </c>
      <c r="D60" s="8" t="s">
        <v>138</v>
      </c>
      <c r="E60" s="8" t="s">
        <v>29</v>
      </c>
      <c r="F60" s="9" t="s">
        <v>52</v>
      </c>
      <c r="G60" s="9"/>
      <c r="H60" s="9"/>
      <c r="I60" s="9"/>
      <c r="J60" s="9"/>
    </row>
    <row r="61" customFormat="false" ht="15" hidden="false" customHeight="false" outlineLevel="0" collapsed="false">
      <c r="A61" s="18" t="n">
        <v>60</v>
      </c>
      <c r="B61" s="8" t="s">
        <v>65</v>
      </c>
      <c r="C61" s="8" t="s">
        <v>142</v>
      </c>
      <c r="D61" s="8" t="s">
        <v>143</v>
      </c>
      <c r="E61" s="8" t="s">
        <v>29</v>
      </c>
      <c r="F61" s="9" t="s">
        <v>52</v>
      </c>
      <c r="G61" s="9"/>
      <c r="H61" s="9"/>
      <c r="I61" s="9"/>
      <c r="J61" s="9"/>
    </row>
    <row r="62" customFormat="false" ht="15" hidden="false" customHeight="false" outlineLevel="0" collapsed="false">
      <c r="A62" s="18" t="n">
        <v>61</v>
      </c>
      <c r="B62" s="8" t="s">
        <v>65</v>
      </c>
      <c r="C62" s="8" t="s">
        <v>144</v>
      </c>
      <c r="D62" s="8" t="s">
        <v>143</v>
      </c>
      <c r="E62" s="8" t="s">
        <v>77</v>
      </c>
      <c r="F62" s="9" t="s">
        <v>52</v>
      </c>
      <c r="G62" s="9"/>
      <c r="H62" s="9"/>
      <c r="I62" s="9"/>
      <c r="J62" s="9"/>
    </row>
    <row r="63" customFormat="false" ht="15" hidden="false" customHeight="false" outlineLevel="0" collapsed="false">
      <c r="A63" s="18" t="n">
        <v>62</v>
      </c>
      <c r="B63" s="8" t="s">
        <v>65</v>
      </c>
      <c r="C63" s="8" t="s">
        <v>145</v>
      </c>
      <c r="D63" s="8" t="s">
        <v>143</v>
      </c>
      <c r="E63" s="8" t="s">
        <v>29</v>
      </c>
      <c r="F63" s="9" t="s">
        <v>52</v>
      </c>
      <c r="G63" s="9"/>
      <c r="H63" s="9"/>
      <c r="I63" s="9"/>
      <c r="J63" s="9"/>
    </row>
  </sheetData>
  <autoFilter ref="A1:J63"/>
  <conditionalFormatting sqref="E2:E63">
    <cfRule type="cellIs" priority="2" operator="equal" aboveAverage="0" equalAverage="0" bottom="0" percent="0" rank="0" text="" dxfId="6">
      <formula>"High"</formula>
    </cfRule>
  </conditionalFormatting>
  <conditionalFormatting sqref="F2:F63">
    <cfRule type="cellIs" priority="3" operator="equal" aboveAverage="0" equalAverage="0" bottom="0" percent="0" rank="0" text="" dxfId="7">
      <formula>"Answered"</formula>
    </cfRule>
    <cfRule type="cellIs" priority="4" operator="equal" aboveAverage="0" equalAverage="0" bottom="0" percent="0" rank="0" text="" dxfId="8">
      <formula>"Blocked"</formula>
    </cfRule>
  </conditionalFormatting>
  <dataValidations count="2">
    <dataValidation allowBlank="false" errorStyle="stop" operator="between" showDropDown="false" showErrorMessage="false" showInputMessage="false" sqref="F2:F63" type="list">
      <formula1>"Not started,In progress,Answered,Blocked"</formula1>
      <formula2>0</formula2>
    </dataValidation>
    <dataValidation allowBlank="false" errorStyle="stop" operator="between" showDropDown="false" showErrorMessage="false" showInputMessage="false" sqref="E2:E63"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62"/>
    <col collapsed="false" customWidth="true" hidden="false" outlineLevel="0" max="4" min="4" style="0" width="16"/>
    <col collapsed="false" customWidth="true" hidden="false" outlineLevel="0" max="6" min="5" style="0" width="36"/>
    <col collapsed="false" customWidth="true" hidden="false" outlineLevel="0" max="7" min="7" style="0" width="46"/>
  </cols>
  <sheetData>
    <row r="1" customFormat="false" ht="30" hidden="false" customHeight="true" outlineLevel="0" collapsed="false">
      <c r="A1" s="10" t="s">
        <v>68</v>
      </c>
      <c r="B1" s="10" t="s">
        <v>146</v>
      </c>
      <c r="C1" s="10" t="s">
        <v>21</v>
      </c>
      <c r="D1" s="10" t="s">
        <v>147</v>
      </c>
      <c r="E1" s="10" t="s">
        <v>148</v>
      </c>
      <c r="F1" s="10" t="s">
        <v>149</v>
      </c>
      <c r="G1" s="10" t="s">
        <v>150</v>
      </c>
    </row>
    <row r="2" customFormat="false" ht="23.85" hidden="false" customHeight="false" outlineLevel="0" collapsed="false">
      <c r="A2" s="18" t="s">
        <v>151</v>
      </c>
      <c r="B2" s="8" t="s">
        <v>152</v>
      </c>
      <c r="C2" s="8" t="s">
        <v>153</v>
      </c>
      <c r="D2" s="8" t="s">
        <v>154</v>
      </c>
      <c r="E2" s="8" t="s">
        <v>155</v>
      </c>
      <c r="F2" s="8" t="s">
        <v>156</v>
      </c>
      <c r="G2" s="9"/>
    </row>
    <row r="3" customFormat="false" ht="23.85" hidden="false" customHeight="false" outlineLevel="0" collapsed="false">
      <c r="A3" s="18" t="s">
        <v>157</v>
      </c>
      <c r="B3" s="8" t="s">
        <v>152</v>
      </c>
      <c r="C3" s="8" t="s">
        <v>158</v>
      </c>
      <c r="D3" s="8" t="s">
        <v>159</v>
      </c>
      <c r="E3" s="8" t="s">
        <v>160</v>
      </c>
      <c r="F3" s="8" t="s">
        <v>36</v>
      </c>
      <c r="G3" s="9"/>
    </row>
    <row r="4" customFormat="false" ht="35.05" hidden="false" customHeight="false" outlineLevel="0" collapsed="false">
      <c r="A4" s="18" t="s">
        <v>161</v>
      </c>
      <c r="B4" s="8" t="s">
        <v>162</v>
      </c>
      <c r="C4" s="8" t="s">
        <v>163</v>
      </c>
      <c r="D4" s="8" t="s">
        <v>164</v>
      </c>
      <c r="E4" s="8" t="s">
        <v>165</v>
      </c>
      <c r="F4" s="8" t="s">
        <v>36</v>
      </c>
      <c r="G4" s="9"/>
    </row>
    <row r="5" customFormat="false" ht="15" hidden="false" customHeight="false" outlineLevel="0" collapsed="false">
      <c r="A5" s="18" t="s">
        <v>166</v>
      </c>
      <c r="B5" s="8" t="s">
        <v>162</v>
      </c>
      <c r="C5" s="8" t="s">
        <v>167</v>
      </c>
      <c r="D5" s="8" t="s">
        <v>168</v>
      </c>
      <c r="E5" s="8" t="s">
        <v>169</v>
      </c>
      <c r="F5" s="8" t="s">
        <v>170</v>
      </c>
      <c r="G5" s="9"/>
    </row>
    <row r="6" customFormat="false" ht="23.85" hidden="false" customHeight="false" outlineLevel="0" collapsed="false">
      <c r="A6" s="18" t="s">
        <v>171</v>
      </c>
      <c r="B6" s="8" t="s">
        <v>162</v>
      </c>
      <c r="C6" s="8" t="s">
        <v>172</v>
      </c>
      <c r="D6" s="8" t="s">
        <v>173</v>
      </c>
      <c r="E6" s="8" t="s">
        <v>174</v>
      </c>
      <c r="F6" s="8" t="s">
        <v>175</v>
      </c>
      <c r="G6" s="9"/>
    </row>
    <row r="7" customFormat="false" ht="15" hidden="false" customHeight="false" outlineLevel="0" collapsed="false">
      <c r="A7" s="18" t="s">
        <v>176</v>
      </c>
      <c r="B7" s="8" t="s">
        <v>162</v>
      </c>
      <c r="C7" s="8" t="s">
        <v>177</v>
      </c>
      <c r="D7" s="8" t="s">
        <v>178</v>
      </c>
      <c r="E7" s="8" t="s">
        <v>179</v>
      </c>
      <c r="F7" s="8" t="s">
        <v>36</v>
      </c>
      <c r="G7" s="9"/>
    </row>
    <row r="8" customFormat="false" ht="15" hidden="false" customHeight="false" outlineLevel="0" collapsed="false">
      <c r="A8" s="18" t="s">
        <v>180</v>
      </c>
      <c r="B8" s="8" t="s">
        <v>162</v>
      </c>
      <c r="C8" s="8" t="s">
        <v>181</v>
      </c>
      <c r="D8" s="8" t="s">
        <v>182</v>
      </c>
      <c r="E8" s="8" t="s">
        <v>183</v>
      </c>
      <c r="F8" s="8" t="s">
        <v>184</v>
      </c>
      <c r="G8" s="9"/>
    </row>
    <row r="9" customFormat="false" ht="23.85" hidden="false" customHeight="false" outlineLevel="0" collapsed="false">
      <c r="A9" s="18" t="s">
        <v>185</v>
      </c>
      <c r="B9" s="8" t="s">
        <v>186</v>
      </c>
      <c r="C9" s="8" t="s">
        <v>187</v>
      </c>
      <c r="D9" s="8" t="s">
        <v>173</v>
      </c>
      <c r="E9" s="8" t="s">
        <v>188</v>
      </c>
      <c r="F9" s="8" t="s">
        <v>189</v>
      </c>
      <c r="G9" s="9"/>
    </row>
    <row r="10" customFormat="false" ht="23.85" hidden="false" customHeight="false" outlineLevel="0" collapsed="false">
      <c r="A10" s="18" t="s">
        <v>190</v>
      </c>
      <c r="B10" s="8" t="s">
        <v>186</v>
      </c>
      <c r="C10" s="8" t="s">
        <v>191</v>
      </c>
      <c r="D10" s="8" t="s">
        <v>192</v>
      </c>
      <c r="E10" s="8" t="s">
        <v>193</v>
      </c>
      <c r="F10" s="8" t="s">
        <v>194</v>
      </c>
      <c r="G10" s="9"/>
    </row>
    <row r="11" customFormat="false" ht="15" hidden="false" customHeight="false" outlineLevel="0" collapsed="false">
      <c r="A11" s="18" t="s">
        <v>195</v>
      </c>
      <c r="B11" s="8" t="s">
        <v>186</v>
      </c>
      <c r="C11" s="8" t="s">
        <v>196</v>
      </c>
      <c r="D11" s="8" t="s">
        <v>168</v>
      </c>
      <c r="E11" s="8" t="s">
        <v>197</v>
      </c>
      <c r="F11" s="8" t="s">
        <v>198</v>
      </c>
      <c r="G11" s="9"/>
    </row>
    <row r="12" customFormat="false" ht="23.85" hidden="false" customHeight="false" outlineLevel="0" collapsed="false">
      <c r="A12" s="18" t="s">
        <v>199</v>
      </c>
      <c r="B12" s="8" t="s">
        <v>186</v>
      </c>
      <c r="C12" s="8" t="s">
        <v>200</v>
      </c>
      <c r="D12" s="8" t="s">
        <v>201</v>
      </c>
      <c r="E12" s="8" t="s">
        <v>202</v>
      </c>
      <c r="F12" s="8" t="s">
        <v>203</v>
      </c>
      <c r="G12" s="9"/>
    </row>
    <row r="13" customFormat="false" ht="23.85" hidden="false" customHeight="false" outlineLevel="0" collapsed="false">
      <c r="A13" s="18" t="s">
        <v>204</v>
      </c>
      <c r="B13" s="8" t="s">
        <v>186</v>
      </c>
      <c r="C13" s="8" t="s">
        <v>205</v>
      </c>
      <c r="D13" s="8" t="s">
        <v>201</v>
      </c>
      <c r="E13" s="8" t="s">
        <v>206</v>
      </c>
      <c r="F13" s="8" t="s">
        <v>207</v>
      </c>
      <c r="G13" s="9"/>
    </row>
    <row r="14" customFormat="false" ht="15" hidden="false" customHeight="false" outlineLevel="0" collapsed="false">
      <c r="A14" s="18" t="s">
        <v>208</v>
      </c>
      <c r="B14" s="8" t="s">
        <v>186</v>
      </c>
      <c r="C14" s="8" t="s">
        <v>209</v>
      </c>
      <c r="D14" s="8" t="s">
        <v>178</v>
      </c>
      <c r="E14" s="8" t="s">
        <v>210</v>
      </c>
      <c r="F14" s="8" t="s">
        <v>211</v>
      </c>
      <c r="G14" s="9"/>
    </row>
    <row r="15" customFormat="false" ht="23.85" hidden="false" customHeight="false" outlineLevel="0" collapsed="false">
      <c r="A15" s="18" t="s">
        <v>212</v>
      </c>
      <c r="B15" s="8" t="s">
        <v>186</v>
      </c>
      <c r="C15" s="8" t="s">
        <v>213</v>
      </c>
      <c r="D15" s="8" t="s">
        <v>178</v>
      </c>
      <c r="E15" s="8" t="s">
        <v>214</v>
      </c>
      <c r="F15" s="8" t="s">
        <v>215</v>
      </c>
      <c r="G15" s="9"/>
    </row>
    <row r="16" customFormat="false" ht="23.85" hidden="false" customHeight="false" outlineLevel="0" collapsed="false">
      <c r="A16" s="18" t="s">
        <v>216</v>
      </c>
      <c r="B16" s="8" t="s">
        <v>186</v>
      </c>
      <c r="C16" s="8" t="s">
        <v>217</v>
      </c>
      <c r="D16" s="8" t="s">
        <v>218</v>
      </c>
      <c r="E16" s="8" t="s">
        <v>219</v>
      </c>
      <c r="F16" s="8" t="s">
        <v>220</v>
      </c>
      <c r="G16" s="9"/>
    </row>
    <row r="17" customFormat="false" ht="15" hidden="false" customHeight="false" outlineLevel="0" collapsed="false">
      <c r="A17" s="18" t="s">
        <v>221</v>
      </c>
      <c r="B17" s="8" t="s">
        <v>186</v>
      </c>
      <c r="C17" s="8" t="s">
        <v>222</v>
      </c>
      <c r="D17" s="8" t="s">
        <v>168</v>
      </c>
      <c r="E17" s="8" t="s">
        <v>223</v>
      </c>
      <c r="F17" s="8" t="s">
        <v>224</v>
      </c>
      <c r="G17" s="9"/>
    </row>
    <row r="18" customFormat="false" ht="15" hidden="false" customHeight="false" outlineLevel="0" collapsed="false">
      <c r="A18" s="18" t="s">
        <v>225</v>
      </c>
      <c r="B18" s="8" t="s">
        <v>226</v>
      </c>
      <c r="C18" s="8" t="s">
        <v>227</v>
      </c>
      <c r="D18" s="8" t="s">
        <v>178</v>
      </c>
      <c r="E18" s="8" t="s">
        <v>228</v>
      </c>
      <c r="F18" s="8" t="s">
        <v>229</v>
      </c>
      <c r="G18" s="9"/>
    </row>
    <row r="19" customFormat="false" ht="23.85" hidden="false" customHeight="false" outlineLevel="0" collapsed="false">
      <c r="A19" s="18" t="s">
        <v>230</v>
      </c>
      <c r="B19" s="8" t="s">
        <v>226</v>
      </c>
      <c r="C19" s="8" t="s">
        <v>231</v>
      </c>
      <c r="D19" s="8" t="s">
        <v>232</v>
      </c>
      <c r="E19" s="8" t="s">
        <v>233</v>
      </c>
      <c r="F19" s="8" t="s">
        <v>234</v>
      </c>
      <c r="G19" s="9"/>
    </row>
    <row r="20" customFormat="false" ht="15" hidden="false" customHeight="false" outlineLevel="0" collapsed="false">
      <c r="A20" s="18" t="s">
        <v>235</v>
      </c>
      <c r="B20" s="8" t="s">
        <v>226</v>
      </c>
      <c r="C20" s="8" t="s">
        <v>236</v>
      </c>
      <c r="D20" s="8" t="s">
        <v>237</v>
      </c>
      <c r="E20" s="8" t="s">
        <v>238</v>
      </c>
      <c r="F20" s="8" t="s">
        <v>36</v>
      </c>
      <c r="G20" s="9"/>
    </row>
    <row r="21" customFormat="false" ht="15" hidden="false" customHeight="false" outlineLevel="0" collapsed="false">
      <c r="A21" s="18" t="s">
        <v>239</v>
      </c>
      <c r="B21" s="8" t="s">
        <v>226</v>
      </c>
      <c r="C21" s="8" t="s">
        <v>240</v>
      </c>
      <c r="D21" s="8" t="s">
        <v>241</v>
      </c>
      <c r="E21" s="8" t="s">
        <v>242</v>
      </c>
      <c r="F21" s="8" t="s">
        <v>36</v>
      </c>
      <c r="G21" s="9"/>
    </row>
    <row r="22" customFormat="false" ht="35.05" hidden="false" customHeight="false" outlineLevel="0" collapsed="false">
      <c r="A22" s="18" t="s">
        <v>243</v>
      </c>
      <c r="B22" s="8" t="s">
        <v>244</v>
      </c>
      <c r="C22" s="8" t="s">
        <v>245</v>
      </c>
      <c r="D22" s="8" t="s">
        <v>201</v>
      </c>
      <c r="E22" s="8" t="s">
        <v>246</v>
      </c>
      <c r="F22" s="8" t="s">
        <v>247</v>
      </c>
      <c r="G22" s="9"/>
    </row>
    <row r="23" customFormat="false" ht="15" hidden="false" customHeight="false" outlineLevel="0" collapsed="false">
      <c r="A23" s="18" t="s">
        <v>248</v>
      </c>
      <c r="B23" s="8" t="s">
        <v>244</v>
      </c>
      <c r="C23" s="8" t="s">
        <v>249</v>
      </c>
      <c r="D23" s="8" t="s">
        <v>250</v>
      </c>
      <c r="E23" s="8" t="s">
        <v>251</v>
      </c>
      <c r="F23" s="8" t="s">
        <v>252</v>
      </c>
      <c r="G23" s="9"/>
    </row>
    <row r="24" customFormat="false" ht="23.85" hidden="false" customHeight="false" outlineLevel="0" collapsed="false">
      <c r="A24" s="18" t="s">
        <v>253</v>
      </c>
      <c r="B24" s="8" t="s">
        <v>244</v>
      </c>
      <c r="C24" s="8" t="s">
        <v>254</v>
      </c>
      <c r="D24" s="8" t="s">
        <v>255</v>
      </c>
      <c r="E24" s="8" t="s">
        <v>256</v>
      </c>
      <c r="F24" s="8" t="s">
        <v>257</v>
      </c>
      <c r="G24" s="9"/>
    </row>
    <row r="25" customFormat="false" ht="15" hidden="false" customHeight="false" outlineLevel="0" collapsed="false">
      <c r="A25" s="18" t="s">
        <v>258</v>
      </c>
      <c r="B25" s="8" t="s">
        <v>244</v>
      </c>
      <c r="C25" s="8" t="s">
        <v>259</v>
      </c>
      <c r="D25" s="8" t="s">
        <v>201</v>
      </c>
      <c r="E25" s="8" t="s">
        <v>260</v>
      </c>
      <c r="F25" s="8" t="s">
        <v>261</v>
      </c>
      <c r="G25" s="9"/>
    </row>
    <row r="26" customFormat="false" ht="23.85" hidden="false" customHeight="false" outlineLevel="0" collapsed="false">
      <c r="A26" s="18" t="s">
        <v>262</v>
      </c>
      <c r="B26" s="8" t="s">
        <v>244</v>
      </c>
      <c r="C26" s="8" t="s">
        <v>263</v>
      </c>
      <c r="D26" s="8" t="s">
        <v>241</v>
      </c>
      <c r="E26" s="8" t="s">
        <v>264</v>
      </c>
      <c r="F26" s="8" t="s">
        <v>265</v>
      </c>
      <c r="G26" s="9"/>
    </row>
    <row r="27" customFormat="false" ht="23.85" hidden="false" customHeight="false" outlineLevel="0" collapsed="false">
      <c r="A27" s="18" t="s">
        <v>266</v>
      </c>
      <c r="B27" s="8" t="s">
        <v>244</v>
      </c>
      <c r="C27" s="8" t="s">
        <v>267</v>
      </c>
      <c r="D27" s="8" t="s">
        <v>268</v>
      </c>
      <c r="E27" s="8" t="s">
        <v>269</v>
      </c>
      <c r="F27" s="8" t="s">
        <v>270</v>
      </c>
      <c r="G27" s="9"/>
    </row>
    <row r="28" customFormat="false" ht="23.85" hidden="false" customHeight="false" outlineLevel="0" collapsed="false">
      <c r="A28" s="18" t="s">
        <v>271</v>
      </c>
      <c r="B28" s="8" t="s">
        <v>244</v>
      </c>
      <c r="C28" s="8" t="s">
        <v>272</v>
      </c>
      <c r="D28" s="8" t="s">
        <v>268</v>
      </c>
      <c r="E28" s="8" t="s">
        <v>273</v>
      </c>
      <c r="F28" s="8" t="s">
        <v>274</v>
      </c>
      <c r="G28" s="9"/>
    </row>
    <row r="29" customFormat="false" ht="23.85" hidden="false" customHeight="false" outlineLevel="0" collapsed="false">
      <c r="A29" s="18" t="s">
        <v>275</v>
      </c>
      <c r="B29" s="8" t="s">
        <v>244</v>
      </c>
      <c r="C29" s="8" t="s">
        <v>276</v>
      </c>
      <c r="D29" s="8" t="s">
        <v>173</v>
      </c>
      <c r="E29" s="8" t="s">
        <v>277</v>
      </c>
      <c r="F29" s="8" t="s">
        <v>278</v>
      </c>
      <c r="G29" s="9"/>
    </row>
    <row r="30" customFormat="false" ht="23.85" hidden="false" customHeight="false" outlineLevel="0" collapsed="false">
      <c r="A30" s="18" t="s">
        <v>279</v>
      </c>
      <c r="B30" s="8" t="s">
        <v>244</v>
      </c>
      <c r="C30" s="8" t="s">
        <v>280</v>
      </c>
      <c r="D30" s="8" t="s">
        <v>201</v>
      </c>
      <c r="E30" s="8" t="s">
        <v>281</v>
      </c>
      <c r="F30" s="8" t="s">
        <v>282</v>
      </c>
      <c r="G30" s="9"/>
    </row>
    <row r="31" customFormat="false" ht="35.05" hidden="false" customHeight="false" outlineLevel="0" collapsed="false">
      <c r="A31" s="18" t="s">
        <v>283</v>
      </c>
      <c r="B31" s="8" t="s">
        <v>284</v>
      </c>
      <c r="C31" s="8" t="s">
        <v>285</v>
      </c>
      <c r="D31" s="8" t="s">
        <v>173</v>
      </c>
      <c r="E31" s="8" t="s">
        <v>286</v>
      </c>
      <c r="F31" s="8" t="s">
        <v>287</v>
      </c>
      <c r="G31" s="9"/>
    </row>
    <row r="32" customFormat="false" ht="23.85" hidden="false" customHeight="false" outlineLevel="0" collapsed="false">
      <c r="A32" s="18" t="s">
        <v>288</v>
      </c>
      <c r="B32" s="8" t="s">
        <v>284</v>
      </c>
      <c r="C32" s="8" t="s">
        <v>289</v>
      </c>
      <c r="D32" s="8" t="s">
        <v>173</v>
      </c>
      <c r="E32" s="8" t="s">
        <v>290</v>
      </c>
      <c r="F32" s="8" t="s">
        <v>291</v>
      </c>
      <c r="G32" s="9"/>
    </row>
    <row r="33" customFormat="false" ht="15" hidden="false" customHeight="false" outlineLevel="0" collapsed="false">
      <c r="A33" s="18" t="s">
        <v>292</v>
      </c>
      <c r="B33" s="8" t="s">
        <v>284</v>
      </c>
      <c r="C33" s="8" t="s">
        <v>293</v>
      </c>
      <c r="D33" s="8" t="s">
        <v>268</v>
      </c>
      <c r="E33" s="8" t="s">
        <v>294</v>
      </c>
      <c r="F33" s="8" t="s">
        <v>295</v>
      </c>
      <c r="G33" s="9"/>
    </row>
    <row r="34" customFormat="false" ht="35.05" hidden="false" customHeight="false" outlineLevel="0" collapsed="false">
      <c r="A34" s="18" t="s">
        <v>296</v>
      </c>
      <c r="B34" s="8" t="s">
        <v>297</v>
      </c>
      <c r="C34" s="8" t="s">
        <v>298</v>
      </c>
      <c r="D34" s="8" t="s">
        <v>241</v>
      </c>
      <c r="E34" s="8" t="s">
        <v>299</v>
      </c>
      <c r="F34" s="8" t="s">
        <v>300</v>
      </c>
      <c r="G34" s="9"/>
    </row>
    <row r="35" customFormat="false" ht="46.25" hidden="false" customHeight="false" outlineLevel="0" collapsed="false">
      <c r="A35" s="18" t="s">
        <v>301</v>
      </c>
      <c r="B35" s="8" t="s">
        <v>297</v>
      </c>
      <c r="C35" s="8" t="s">
        <v>302</v>
      </c>
      <c r="D35" s="8" t="s">
        <v>303</v>
      </c>
      <c r="E35" s="8" t="s">
        <v>304</v>
      </c>
      <c r="F35" s="8" t="s">
        <v>305</v>
      </c>
      <c r="G35" s="9"/>
    </row>
    <row r="36" customFormat="false" ht="57.45" hidden="false" customHeight="false" outlineLevel="0" collapsed="false">
      <c r="A36" s="18" t="s">
        <v>306</v>
      </c>
      <c r="B36" s="8" t="s">
        <v>297</v>
      </c>
      <c r="C36" s="8" t="s">
        <v>307</v>
      </c>
      <c r="D36" s="8" t="s">
        <v>303</v>
      </c>
      <c r="E36" s="8" t="s">
        <v>308</v>
      </c>
      <c r="F36" s="8" t="s">
        <v>309</v>
      </c>
      <c r="G36" s="9"/>
    </row>
    <row r="37" customFormat="false" ht="35.05" hidden="false" customHeight="false" outlineLevel="0" collapsed="false">
      <c r="A37" s="18" t="s">
        <v>310</v>
      </c>
      <c r="B37" s="8" t="s">
        <v>297</v>
      </c>
      <c r="C37" s="8" t="s">
        <v>311</v>
      </c>
      <c r="D37" s="8" t="s">
        <v>241</v>
      </c>
      <c r="E37" s="8" t="s">
        <v>312</v>
      </c>
      <c r="F37" s="8" t="s">
        <v>313</v>
      </c>
      <c r="G37" s="9"/>
    </row>
    <row r="38" customFormat="false" ht="35.05" hidden="false" customHeight="false" outlineLevel="0" collapsed="false">
      <c r="A38" s="18" t="s">
        <v>314</v>
      </c>
      <c r="B38" s="8" t="s">
        <v>297</v>
      </c>
      <c r="C38" s="8" t="s">
        <v>315</v>
      </c>
      <c r="D38" s="8" t="s">
        <v>241</v>
      </c>
      <c r="E38" s="8" t="s">
        <v>316</v>
      </c>
      <c r="F38" s="8" t="s">
        <v>317</v>
      </c>
      <c r="G38" s="9"/>
    </row>
    <row r="39" customFormat="false" ht="35.05" hidden="false" customHeight="false" outlineLevel="0" collapsed="false">
      <c r="A39" s="18" t="s">
        <v>318</v>
      </c>
      <c r="B39" s="8" t="s">
        <v>297</v>
      </c>
      <c r="C39" s="8" t="s">
        <v>319</v>
      </c>
      <c r="D39" s="8" t="s">
        <v>154</v>
      </c>
      <c r="E39" s="8" t="s">
        <v>320</v>
      </c>
      <c r="F39" s="8" t="s">
        <v>321</v>
      </c>
      <c r="G39" s="9"/>
    </row>
    <row r="40" customFormat="false" ht="35.05" hidden="false" customHeight="false" outlineLevel="0" collapsed="false">
      <c r="A40" s="18" t="s">
        <v>322</v>
      </c>
      <c r="B40" s="8" t="s">
        <v>297</v>
      </c>
      <c r="C40" s="8" t="s">
        <v>323</v>
      </c>
      <c r="D40" s="8" t="s">
        <v>154</v>
      </c>
      <c r="E40" s="8" t="s">
        <v>324</v>
      </c>
      <c r="F40" s="8" t="s">
        <v>325</v>
      </c>
      <c r="G40" s="9"/>
    </row>
    <row r="41" customFormat="false" ht="15" hidden="false" customHeight="false" outlineLevel="0" collapsed="false">
      <c r="A41" s="18" t="s">
        <v>326</v>
      </c>
      <c r="B41" s="8" t="s">
        <v>327</v>
      </c>
      <c r="C41" s="8" t="s">
        <v>328</v>
      </c>
      <c r="D41" s="8" t="s">
        <v>173</v>
      </c>
      <c r="E41" s="8" t="s">
        <v>329</v>
      </c>
      <c r="F41" s="8" t="s">
        <v>330</v>
      </c>
      <c r="G41" s="9"/>
    </row>
    <row r="42" customFormat="false" ht="23.85" hidden="false" customHeight="false" outlineLevel="0" collapsed="false">
      <c r="A42" s="18" t="s">
        <v>331</v>
      </c>
      <c r="B42" s="8" t="s">
        <v>327</v>
      </c>
      <c r="C42" s="8" t="s">
        <v>332</v>
      </c>
      <c r="D42" s="8" t="s">
        <v>173</v>
      </c>
      <c r="E42" s="8" t="s">
        <v>333</v>
      </c>
      <c r="F42" s="8" t="s">
        <v>334</v>
      </c>
      <c r="G42" s="9"/>
    </row>
    <row r="43" customFormat="false" ht="15" hidden="false" customHeight="false" outlineLevel="0" collapsed="false">
      <c r="A43" s="18" t="s">
        <v>335</v>
      </c>
      <c r="B43" s="8" t="s">
        <v>327</v>
      </c>
      <c r="C43" s="8" t="s">
        <v>336</v>
      </c>
      <c r="D43" s="8" t="s">
        <v>337</v>
      </c>
      <c r="E43" s="8" t="s">
        <v>338</v>
      </c>
      <c r="F43" s="8" t="s">
        <v>339</v>
      </c>
      <c r="G43" s="9"/>
    </row>
    <row r="44" customFormat="false" ht="23.85" hidden="false" customHeight="false" outlineLevel="0" collapsed="false">
      <c r="A44" s="18" t="s">
        <v>340</v>
      </c>
      <c r="B44" s="8" t="s">
        <v>327</v>
      </c>
      <c r="C44" s="8" t="s">
        <v>341</v>
      </c>
      <c r="D44" s="8" t="s">
        <v>173</v>
      </c>
      <c r="E44" s="8" t="s">
        <v>342</v>
      </c>
      <c r="F44" s="8" t="s">
        <v>343</v>
      </c>
      <c r="G44" s="9"/>
    </row>
    <row r="45" customFormat="false" ht="23.85" hidden="false" customHeight="false" outlineLevel="0" collapsed="false">
      <c r="A45" s="18" t="s">
        <v>344</v>
      </c>
      <c r="B45" s="8" t="s">
        <v>327</v>
      </c>
      <c r="C45" s="8" t="s">
        <v>345</v>
      </c>
      <c r="D45" s="8" t="s">
        <v>173</v>
      </c>
      <c r="E45" s="8" t="s">
        <v>346</v>
      </c>
      <c r="F45" s="8" t="s">
        <v>347</v>
      </c>
      <c r="G45" s="9"/>
    </row>
    <row r="46" customFormat="false" ht="23.85" hidden="false" customHeight="false" outlineLevel="0" collapsed="false">
      <c r="A46" s="18" t="s">
        <v>348</v>
      </c>
      <c r="B46" s="8" t="s">
        <v>327</v>
      </c>
      <c r="C46" s="8" t="s">
        <v>349</v>
      </c>
      <c r="D46" s="8" t="s">
        <v>168</v>
      </c>
      <c r="E46" s="8" t="s">
        <v>350</v>
      </c>
      <c r="F46" s="8" t="s">
        <v>351</v>
      </c>
      <c r="G46" s="9"/>
    </row>
    <row r="47" customFormat="false" ht="23.85" hidden="false" customHeight="false" outlineLevel="0" collapsed="false">
      <c r="A47" s="18" t="s">
        <v>352</v>
      </c>
      <c r="B47" s="8" t="s">
        <v>327</v>
      </c>
      <c r="C47" s="8" t="s">
        <v>353</v>
      </c>
      <c r="D47" s="8" t="s">
        <v>173</v>
      </c>
      <c r="E47" s="8" t="s">
        <v>354</v>
      </c>
      <c r="F47" s="8" t="s">
        <v>355</v>
      </c>
      <c r="G47" s="9"/>
    </row>
    <row r="48" customFormat="false" ht="23.85" hidden="false" customHeight="false" outlineLevel="0" collapsed="false">
      <c r="A48" s="18" t="s">
        <v>356</v>
      </c>
      <c r="B48" s="8" t="s">
        <v>327</v>
      </c>
      <c r="C48" s="8" t="s">
        <v>357</v>
      </c>
      <c r="D48" s="8" t="s">
        <v>173</v>
      </c>
      <c r="E48" s="8" t="s">
        <v>358</v>
      </c>
      <c r="F48" s="8" t="s">
        <v>359</v>
      </c>
      <c r="G48" s="9"/>
    </row>
    <row r="49" customFormat="false" ht="23.85" hidden="false" customHeight="false" outlineLevel="0" collapsed="false">
      <c r="A49" s="18" t="s">
        <v>360</v>
      </c>
      <c r="B49" s="8" t="s">
        <v>327</v>
      </c>
      <c r="C49" s="8" t="s">
        <v>361</v>
      </c>
      <c r="D49" s="8" t="s">
        <v>173</v>
      </c>
      <c r="E49" s="8" t="s">
        <v>362</v>
      </c>
      <c r="F49" s="8" t="s">
        <v>363</v>
      </c>
      <c r="G49" s="9"/>
    </row>
    <row r="50" customFormat="false" ht="23.85" hidden="false" customHeight="false" outlineLevel="0" collapsed="false">
      <c r="A50" s="18" t="s">
        <v>364</v>
      </c>
      <c r="B50" s="8" t="s">
        <v>365</v>
      </c>
      <c r="C50" s="8" t="s">
        <v>366</v>
      </c>
      <c r="D50" s="8" t="s">
        <v>173</v>
      </c>
      <c r="E50" s="8" t="s">
        <v>367</v>
      </c>
      <c r="F50" s="8" t="s">
        <v>368</v>
      </c>
      <c r="G50" s="9"/>
    </row>
    <row r="51" customFormat="false" ht="23.85" hidden="false" customHeight="false" outlineLevel="0" collapsed="false">
      <c r="A51" s="18" t="s">
        <v>369</v>
      </c>
      <c r="B51" s="8" t="s">
        <v>365</v>
      </c>
      <c r="C51" s="8" t="s">
        <v>370</v>
      </c>
      <c r="D51" s="8" t="s">
        <v>168</v>
      </c>
      <c r="E51" s="8" t="s">
        <v>371</v>
      </c>
      <c r="F51" s="8" t="s">
        <v>372</v>
      </c>
      <c r="G51" s="9"/>
    </row>
    <row r="52" customFormat="false" ht="23.85" hidden="false" customHeight="false" outlineLevel="0" collapsed="false">
      <c r="A52" s="18" t="s">
        <v>373</v>
      </c>
      <c r="B52" s="8" t="s">
        <v>365</v>
      </c>
      <c r="C52" s="8" t="s">
        <v>374</v>
      </c>
      <c r="D52" s="8" t="s">
        <v>168</v>
      </c>
      <c r="E52" s="8" t="s">
        <v>375</v>
      </c>
      <c r="F52" s="8" t="s">
        <v>376</v>
      </c>
      <c r="G52" s="9"/>
    </row>
    <row r="53" customFormat="false" ht="15" hidden="false" customHeight="false" outlineLevel="0" collapsed="false">
      <c r="A53" s="18" t="s">
        <v>377</v>
      </c>
      <c r="B53" s="8" t="s">
        <v>365</v>
      </c>
      <c r="C53" s="8" t="s">
        <v>378</v>
      </c>
      <c r="D53" s="8" t="s">
        <v>173</v>
      </c>
      <c r="E53" s="8" t="s">
        <v>379</v>
      </c>
      <c r="F53" s="8" t="s">
        <v>380</v>
      </c>
      <c r="G53" s="9"/>
    </row>
    <row r="54" customFormat="false" ht="15" hidden="false" customHeight="false" outlineLevel="0" collapsed="false">
      <c r="A54" s="18" t="s">
        <v>381</v>
      </c>
      <c r="B54" s="8" t="s">
        <v>365</v>
      </c>
      <c r="C54" s="8" t="s">
        <v>382</v>
      </c>
      <c r="D54" s="8" t="s">
        <v>173</v>
      </c>
      <c r="E54" s="8" t="s">
        <v>383</v>
      </c>
      <c r="F54" s="8" t="s">
        <v>384</v>
      </c>
      <c r="G54" s="9"/>
    </row>
    <row r="55" customFormat="false" ht="15" hidden="false" customHeight="false" outlineLevel="0" collapsed="false">
      <c r="A55" s="18" t="s">
        <v>385</v>
      </c>
      <c r="B55" s="8" t="s">
        <v>386</v>
      </c>
      <c r="C55" s="8" t="s">
        <v>387</v>
      </c>
      <c r="D55" s="8" t="s">
        <v>173</v>
      </c>
      <c r="E55" s="8" t="s">
        <v>388</v>
      </c>
      <c r="F55" s="8" t="s">
        <v>389</v>
      </c>
      <c r="G55" s="9"/>
    </row>
    <row r="56" customFormat="false" ht="23.85" hidden="false" customHeight="false" outlineLevel="0" collapsed="false">
      <c r="A56" s="18" t="s">
        <v>390</v>
      </c>
      <c r="B56" s="8" t="s">
        <v>386</v>
      </c>
      <c r="C56" s="8" t="s">
        <v>391</v>
      </c>
      <c r="D56" s="8" t="s">
        <v>173</v>
      </c>
      <c r="E56" s="8" t="s">
        <v>392</v>
      </c>
      <c r="F56" s="8" t="s">
        <v>393</v>
      </c>
      <c r="G56" s="9"/>
    </row>
    <row r="57" customFormat="false" ht="23.85" hidden="false" customHeight="false" outlineLevel="0" collapsed="false">
      <c r="A57" s="18" t="s">
        <v>394</v>
      </c>
      <c r="B57" s="8" t="s">
        <v>386</v>
      </c>
      <c r="C57" s="8" t="s">
        <v>395</v>
      </c>
      <c r="D57" s="8" t="s">
        <v>173</v>
      </c>
      <c r="E57" s="8" t="s">
        <v>396</v>
      </c>
      <c r="F57" s="8" t="s">
        <v>397</v>
      </c>
      <c r="G57" s="9"/>
    </row>
    <row r="58" customFormat="false" ht="15" hidden="false" customHeight="false" outlineLevel="0" collapsed="false">
      <c r="A58" s="18" t="s">
        <v>398</v>
      </c>
      <c r="B58" s="8" t="s">
        <v>386</v>
      </c>
      <c r="C58" s="8" t="s">
        <v>399</v>
      </c>
      <c r="D58" s="8" t="s">
        <v>182</v>
      </c>
      <c r="E58" s="8" t="s">
        <v>400</v>
      </c>
      <c r="F58" s="8" t="s">
        <v>401</v>
      </c>
      <c r="G58" s="9"/>
    </row>
    <row r="59" customFormat="false" ht="15" hidden="false" customHeight="false" outlineLevel="0" collapsed="false">
      <c r="A59" s="18" t="s">
        <v>402</v>
      </c>
      <c r="B59" s="8" t="s">
        <v>403</v>
      </c>
      <c r="C59" s="8" t="s">
        <v>404</v>
      </c>
      <c r="D59" s="8" t="s">
        <v>173</v>
      </c>
      <c r="E59" s="8" t="s">
        <v>405</v>
      </c>
      <c r="F59" s="8" t="s">
        <v>406</v>
      </c>
      <c r="G59" s="9"/>
    </row>
    <row r="60" customFormat="false" ht="23.85" hidden="false" customHeight="false" outlineLevel="0" collapsed="false">
      <c r="A60" s="18" t="s">
        <v>407</v>
      </c>
      <c r="B60" s="8" t="s">
        <v>403</v>
      </c>
      <c r="C60" s="8" t="s">
        <v>408</v>
      </c>
      <c r="D60" s="8" t="s">
        <v>173</v>
      </c>
      <c r="E60" s="8" t="s">
        <v>409</v>
      </c>
      <c r="F60" s="8" t="s">
        <v>410</v>
      </c>
      <c r="G60" s="9"/>
    </row>
    <row r="61" customFormat="false" ht="15" hidden="false" customHeight="false" outlineLevel="0" collapsed="false">
      <c r="A61" s="18" t="s">
        <v>411</v>
      </c>
      <c r="B61" s="8" t="s">
        <v>412</v>
      </c>
      <c r="C61" s="8" t="s">
        <v>413</v>
      </c>
      <c r="D61" s="8" t="s">
        <v>414</v>
      </c>
      <c r="E61" s="8" t="s">
        <v>415</v>
      </c>
      <c r="F61" s="8" t="s">
        <v>416</v>
      </c>
      <c r="G61" s="9"/>
    </row>
    <row r="62" customFormat="false" ht="15" hidden="false" customHeight="false" outlineLevel="0" collapsed="false">
      <c r="A62" s="18" t="s">
        <v>417</v>
      </c>
      <c r="B62" s="8" t="s">
        <v>412</v>
      </c>
      <c r="C62" s="8" t="s">
        <v>418</v>
      </c>
      <c r="D62" s="8" t="s">
        <v>173</v>
      </c>
      <c r="E62" s="8" t="s">
        <v>419</v>
      </c>
      <c r="F62" s="8" t="s">
        <v>36</v>
      </c>
      <c r="G62" s="9"/>
    </row>
  </sheetData>
  <autoFilter ref="A1:G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62"/>
    <col collapsed="false" customWidth="true" hidden="false" outlineLevel="0" max="4" min="4" style="0" width="16"/>
    <col collapsed="false" customWidth="true" hidden="false" outlineLevel="0" max="6" min="5" style="0" width="36"/>
    <col collapsed="false" customWidth="true" hidden="false" outlineLevel="0" max="7" min="7" style="0" width="46"/>
  </cols>
  <sheetData>
    <row r="1" customFormat="false" ht="30" hidden="false" customHeight="true" outlineLevel="0" collapsed="false">
      <c r="A1" s="10" t="s">
        <v>68</v>
      </c>
      <c r="B1" s="10" t="s">
        <v>146</v>
      </c>
      <c r="C1" s="10" t="s">
        <v>21</v>
      </c>
      <c r="D1" s="10" t="s">
        <v>147</v>
      </c>
      <c r="E1" s="10" t="s">
        <v>148</v>
      </c>
      <c r="F1" s="10" t="s">
        <v>149</v>
      </c>
      <c r="G1" s="10" t="s">
        <v>150</v>
      </c>
    </row>
    <row r="2" customFormat="false" ht="23.85" hidden="false" customHeight="false" outlineLevel="0" collapsed="false">
      <c r="A2" s="18" t="s">
        <v>420</v>
      </c>
      <c r="B2" s="8" t="s">
        <v>421</v>
      </c>
      <c r="C2" s="8" t="s">
        <v>422</v>
      </c>
      <c r="D2" s="8" t="s">
        <v>173</v>
      </c>
      <c r="E2" s="8" t="s">
        <v>423</v>
      </c>
      <c r="F2" s="8" t="s">
        <v>424</v>
      </c>
      <c r="G2" s="9"/>
    </row>
    <row r="3" customFormat="false" ht="15" hidden="false" customHeight="false" outlineLevel="0" collapsed="false">
      <c r="A3" s="18" t="s">
        <v>425</v>
      </c>
      <c r="B3" s="8" t="s">
        <v>421</v>
      </c>
      <c r="C3" s="8" t="s">
        <v>426</v>
      </c>
      <c r="D3" s="8" t="s">
        <v>173</v>
      </c>
      <c r="E3" s="8" t="s">
        <v>427</v>
      </c>
      <c r="F3" s="8" t="s">
        <v>428</v>
      </c>
      <c r="G3" s="9"/>
    </row>
    <row r="4" customFormat="false" ht="15" hidden="false" customHeight="false" outlineLevel="0" collapsed="false">
      <c r="A4" s="18" t="s">
        <v>429</v>
      </c>
      <c r="B4" s="8" t="s">
        <v>421</v>
      </c>
      <c r="C4" s="8" t="s">
        <v>430</v>
      </c>
      <c r="D4" s="8" t="s">
        <v>173</v>
      </c>
      <c r="E4" s="8" t="s">
        <v>431</v>
      </c>
      <c r="F4" s="8" t="s">
        <v>432</v>
      </c>
      <c r="G4" s="9"/>
    </row>
    <row r="5" customFormat="false" ht="15" hidden="false" customHeight="false" outlineLevel="0" collapsed="false">
      <c r="A5" s="18" t="s">
        <v>433</v>
      </c>
      <c r="B5" s="8" t="s">
        <v>421</v>
      </c>
      <c r="C5" s="8" t="s">
        <v>434</v>
      </c>
      <c r="D5" s="8" t="s">
        <v>173</v>
      </c>
      <c r="E5" s="8" t="s">
        <v>435</v>
      </c>
      <c r="F5" s="8" t="s">
        <v>436</v>
      </c>
      <c r="G5" s="9"/>
    </row>
    <row r="6" customFormat="false" ht="15" hidden="false" customHeight="false" outlineLevel="0" collapsed="false">
      <c r="A6" s="18" t="s">
        <v>437</v>
      </c>
      <c r="B6" s="8" t="s">
        <v>421</v>
      </c>
      <c r="C6" s="8" t="s">
        <v>438</v>
      </c>
      <c r="D6" s="8" t="s">
        <v>173</v>
      </c>
      <c r="E6" s="8" t="s">
        <v>439</v>
      </c>
      <c r="F6" s="8" t="s">
        <v>440</v>
      </c>
      <c r="G6" s="9"/>
    </row>
    <row r="7" customFormat="false" ht="35.05" hidden="false" customHeight="false" outlineLevel="0" collapsed="false">
      <c r="A7" s="18" t="s">
        <v>441</v>
      </c>
      <c r="B7" s="8" t="s">
        <v>442</v>
      </c>
      <c r="C7" s="8" t="s">
        <v>443</v>
      </c>
      <c r="D7" s="8" t="s">
        <v>173</v>
      </c>
      <c r="E7" s="8" t="s">
        <v>444</v>
      </c>
      <c r="F7" s="8" t="s">
        <v>445</v>
      </c>
      <c r="G7" s="9"/>
    </row>
    <row r="8" customFormat="false" ht="23.85" hidden="false" customHeight="false" outlineLevel="0" collapsed="false">
      <c r="A8" s="18" t="s">
        <v>446</v>
      </c>
      <c r="B8" s="8" t="s">
        <v>442</v>
      </c>
      <c r="C8" s="8" t="s">
        <v>447</v>
      </c>
      <c r="D8" s="8" t="s">
        <v>173</v>
      </c>
      <c r="E8" s="8" t="s">
        <v>448</v>
      </c>
      <c r="F8" s="8" t="s">
        <v>449</v>
      </c>
      <c r="G8" s="9"/>
    </row>
    <row r="9" customFormat="false" ht="23.85" hidden="false" customHeight="false" outlineLevel="0" collapsed="false">
      <c r="A9" s="18" t="s">
        <v>450</v>
      </c>
      <c r="B9" s="8" t="s">
        <v>442</v>
      </c>
      <c r="C9" s="8" t="s">
        <v>451</v>
      </c>
      <c r="D9" s="8" t="s">
        <v>173</v>
      </c>
      <c r="E9" s="8" t="s">
        <v>452</v>
      </c>
      <c r="F9" s="8" t="s">
        <v>453</v>
      </c>
      <c r="G9" s="9"/>
    </row>
    <row r="10" customFormat="false" ht="23.85" hidden="false" customHeight="false" outlineLevel="0" collapsed="false">
      <c r="A10" s="18" t="s">
        <v>454</v>
      </c>
      <c r="B10" s="8" t="s">
        <v>442</v>
      </c>
      <c r="C10" s="8" t="s">
        <v>455</v>
      </c>
      <c r="D10" s="8" t="s">
        <v>268</v>
      </c>
      <c r="E10" s="8" t="s">
        <v>456</v>
      </c>
      <c r="F10" s="8" t="s">
        <v>457</v>
      </c>
      <c r="G10" s="9"/>
    </row>
    <row r="11" customFormat="false" ht="23.85" hidden="false" customHeight="false" outlineLevel="0" collapsed="false">
      <c r="A11" s="18" t="s">
        <v>458</v>
      </c>
      <c r="B11" s="8" t="s">
        <v>442</v>
      </c>
      <c r="C11" s="8" t="s">
        <v>459</v>
      </c>
      <c r="D11" s="8" t="s">
        <v>173</v>
      </c>
      <c r="E11" s="8" t="s">
        <v>460</v>
      </c>
      <c r="F11" s="8" t="s">
        <v>461</v>
      </c>
      <c r="G11" s="9"/>
    </row>
    <row r="12" customFormat="false" ht="23.85" hidden="false" customHeight="false" outlineLevel="0" collapsed="false">
      <c r="A12" s="18" t="s">
        <v>462</v>
      </c>
      <c r="B12" s="8" t="s">
        <v>463</v>
      </c>
      <c r="C12" s="8" t="s">
        <v>464</v>
      </c>
      <c r="D12" s="8" t="s">
        <v>168</v>
      </c>
      <c r="E12" s="8" t="s">
        <v>465</v>
      </c>
      <c r="F12" s="8" t="s">
        <v>466</v>
      </c>
      <c r="G12" s="9"/>
    </row>
    <row r="13" customFormat="false" ht="23.85" hidden="false" customHeight="false" outlineLevel="0" collapsed="false">
      <c r="A13" s="18" t="s">
        <v>467</v>
      </c>
      <c r="B13" s="8" t="s">
        <v>463</v>
      </c>
      <c r="C13" s="8" t="s">
        <v>468</v>
      </c>
      <c r="D13" s="8" t="s">
        <v>173</v>
      </c>
      <c r="E13" s="8" t="s">
        <v>469</v>
      </c>
      <c r="F13" s="8" t="s">
        <v>470</v>
      </c>
      <c r="G13" s="9"/>
    </row>
    <row r="14" customFormat="false" ht="23.85" hidden="false" customHeight="false" outlineLevel="0" collapsed="false">
      <c r="A14" s="18" t="s">
        <v>471</v>
      </c>
      <c r="B14" s="8" t="s">
        <v>463</v>
      </c>
      <c r="C14" s="8" t="s">
        <v>472</v>
      </c>
      <c r="D14" s="8" t="s">
        <v>173</v>
      </c>
      <c r="E14" s="8" t="s">
        <v>473</v>
      </c>
      <c r="F14" s="8" t="s">
        <v>474</v>
      </c>
      <c r="G14" s="9"/>
    </row>
    <row r="15" customFormat="false" ht="23.85" hidden="false" customHeight="false" outlineLevel="0" collapsed="false">
      <c r="A15" s="18" t="s">
        <v>475</v>
      </c>
      <c r="B15" s="8" t="s">
        <v>476</v>
      </c>
      <c r="C15" s="8" t="s">
        <v>477</v>
      </c>
      <c r="D15" s="8" t="s">
        <v>237</v>
      </c>
      <c r="E15" s="8" t="s">
        <v>478</v>
      </c>
      <c r="F15" s="8" t="s">
        <v>479</v>
      </c>
      <c r="G15" s="9"/>
    </row>
    <row r="16" customFormat="false" ht="23.85" hidden="false" customHeight="false" outlineLevel="0" collapsed="false">
      <c r="A16" s="18" t="s">
        <v>480</v>
      </c>
      <c r="B16" s="8" t="s">
        <v>476</v>
      </c>
      <c r="C16" s="8" t="s">
        <v>481</v>
      </c>
      <c r="D16" s="8" t="s">
        <v>173</v>
      </c>
      <c r="E16" s="8" t="s">
        <v>482</v>
      </c>
      <c r="F16" s="8" t="s">
        <v>483</v>
      </c>
      <c r="G16" s="9"/>
    </row>
    <row r="17" customFormat="false" ht="15" hidden="false" customHeight="false" outlineLevel="0" collapsed="false">
      <c r="A17" s="18" t="s">
        <v>484</v>
      </c>
      <c r="B17" s="8" t="s">
        <v>476</v>
      </c>
      <c r="C17" s="8" t="s">
        <v>485</v>
      </c>
      <c r="D17" s="8" t="s">
        <v>173</v>
      </c>
      <c r="E17" s="8" t="s">
        <v>486</v>
      </c>
      <c r="F17" s="8" t="s">
        <v>487</v>
      </c>
      <c r="G17" s="9"/>
    </row>
    <row r="18" customFormat="false" ht="23.85" hidden="false" customHeight="false" outlineLevel="0" collapsed="false">
      <c r="A18" s="18" t="s">
        <v>488</v>
      </c>
      <c r="B18" s="8" t="s">
        <v>476</v>
      </c>
      <c r="C18" s="8" t="s">
        <v>489</v>
      </c>
      <c r="D18" s="8" t="s">
        <v>173</v>
      </c>
      <c r="E18" s="8" t="s">
        <v>490</v>
      </c>
      <c r="F18" s="8" t="s">
        <v>491</v>
      </c>
      <c r="G18" s="9"/>
    </row>
    <row r="19" customFormat="false" ht="15" hidden="false" customHeight="false" outlineLevel="0" collapsed="false">
      <c r="A19" s="18" t="s">
        <v>492</v>
      </c>
      <c r="B19" s="8" t="s">
        <v>476</v>
      </c>
      <c r="C19" s="8" t="s">
        <v>493</v>
      </c>
      <c r="D19" s="8" t="s">
        <v>173</v>
      </c>
      <c r="E19" s="8" t="s">
        <v>494</v>
      </c>
      <c r="F19" s="8" t="s">
        <v>495</v>
      </c>
      <c r="G19" s="9"/>
    </row>
    <row r="20" customFormat="false" ht="15" hidden="false" customHeight="false" outlineLevel="0" collapsed="false">
      <c r="A20" s="18" t="s">
        <v>496</v>
      </c>
      <c r="B20" s="8" t="s">
        <v>476</v>
      </c>
      <c r="C20" s="8" t="s">
        <v>497</v>
      </c>
      <c r="D20" s="8" t="s">
        <v>154</v>
      </c>
      <c r="E20" s="8" t="s">
        <v>498</v>
      </c>
      <c r="F20" s="8" t="s">
        <v>36</v>
      </c>
      <c r="G20" s="9"/>
    </row>
    <row r="21" customFormat="false" ht="23.85" hidden="false" customHeight="false" outlineLevel="0" collapsed="false">
      <c r="A21" s="18" t="s">
        <v>499</v>
      </c>
      <c r="B21" s="8" t="s">
        <v>500</v>
      </c>
      <c r="C21" s="8" t="s">
        <v>501</v>
      </c>
      <c r="D21" s="8" t="s">
        <v>201</v>
      </c>
      <c r="E21" s="8" t="s">
        <v>502</v>
      </c>
      <c r="F21" s="8" t="s">
        <v>503</v>
      </c>
      <c r="G21" s="9"/>
    </row>
    <row r="22" customFormat="false" ht="15" hidden="false" customHeight="false" outlineLevel="0" collapsed="false">
      <c r="A22" s="18" t="s">
        <v>504</v>
      </c>
      <c r="B22" s="8" t="s">
        <v>500</v>
      </c>
      <c r="C22" s="8" t="s">
        <v>505</v>
      </c>
      <c r="D22" s="8" t="s">
        <v>154</v>
      </c>
      <c r="E22" s="8" t="s">
        <v>506</v>
      </c>
      <c r="F22" s="8" t="s">
        <v>507</v>
      </c>
      <c r="G22" s="9"/>
    </row>
    <row r="23" customFormat="false" ht="15" hidden="false" customHeight="false" outlineLevel="0" collapsed="false">
      <c r="A23" s="18" t="s">
        <v>508</v>
      </c>
      <c r="B23" s="8" t="s">
        <v>500</v>
      </c>
      <c r="C23" s="8" t="s">
        <v>509</v>
      </c>
      <c r="D23" s="8" t="s">
        <v>173</v>
      </c>
      <c r="E23" s="8" t="s">
        <v>510</v>
      </c>
      <c r="F23" s="8" t="s">
        <v>511</v>
      </c>
      <c r="G23" s="9"/>
    </row>
    <row r="24" customFormat="false" ht="15" hidden="false" customHeight="false" outlineLevel="0" collapsed="false">
      <c r="A24" s="18" t="s">
        <v>512</v>
      </c>
      <c r="B24" s="8" t="s">
        <v>500</v>
      </c>
      <c r="C24" s="8" t="s">
        <v>513</v>
      </c>
      <c r="D24" s="8" t="s">
        <v>154</v>
      </c>
      <c r="E24" s="8" t="s">
        <v>514</v>
      </c>
      <c r="F24" s="8" t="s">
        <v>36</v>
      </c>
      <c r="G24" s="9"/>
    </row>
    <row r="25" customFormat="false" ht="15" hidden="false" customHeight="false" outlineLevel="0" collapsed="false">
      <c r="A25" s="18" t="s">
        <v>515</v>
      </c>
      <c r="B25" s="8" t="s">
        <v>516</v>
      </c>
      <c r="C25" s="8" t="s">
        <v>517</v>
      </c>
      <c r="D25" s="8" t="s">
        <v>173</v>
      </c>
      <c r="E25" s="8" t="s">
        <v>518</v>
      </c>
      <c r="F25" s="8" t="s">
        <v>519</v>
      </c>
      <c r="G25" s="9"/>
    </row>
    <row r="26" customFormat="false" ht="15" hidden="false" customHeight="false" outlineLevel="0" collapsed="false">
      <c r="A26" s="18" t="s">
        <v>520</v>
      </c>
      <c r="B26" s="8" t="s">
        <v>516</v>
      </c>
      <c r="C26" s="8" t="s">
        <v>521</v>
      </c>
      <c r="D26" s="8" t="s">
        <v>173</v>
      </c>
      <c r="E26" s="8" t="s">
        <v>522</v>
      </c>
      <c r="F26" s="8" t="s">
        <v>36</v>
      </c>
      <c r="G26" s="9"/>
    </row>
  </sheetData>
  <autoFilter ref="A1:G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62"/>
    <col collapsed="false" customWidth="true" hidden="false" outlineLevel="0" max="4" min="4" style="0" width="16"/>
    <col collapsed="false" customWidth="true" hidden="false" outlineLevel="0" max="6" min="5" style="0" width="36"/>
    <col collapsed="false" customWidth="true" hidden="false" outlineLevel="0" max="7" min="7" style="0" width="46"/>
  </cols>
  <sheetData>
    <row r="1" customFormat="false" ht="30" hidden="false" customHeight="true" outlineLevel="0" collapsed="false">
      <c r="A1" s="10" t="s">
        <v>68</v>
      </c>
      <c r="B1" s="10" t="s">
        <v>146</v>
      </c>
      <c r="C1" s="10" t="s">
        <v>21</v>
      </c>
      <c r="D1" s="10" t="s">
        <v>147</v>
      </c>
      <c r="E1" s="10" t="s">
        <v>148</v>
      </c>
      <c r="F1" s="10" t="s">
        <v>149</v>
      </c>
      <c r="G1" s="10" t="s">
        <v>150</v>
      </c>
    </row>
    <row r="2" customFormat="false" ht="15" hidden="false" customHeight="false" outlineLevel="0" collapsed="false">
      <c r="A2" s="18" t="s">
        <v>523</v>
      </c>
      <c r="B2" s="8" t="s">
        <v>524</v>
      </c>
      <c r="C2" s="8" t="s">
        <v>525</v>
      </c>
      <c r="D2" s="8" t="s">
        <v>178</v>
      </c>
      <c r="E2" s="8" t="s">
        <v>526</v>
      </c>
      <c r="F2" s="8" t="s">
        <v>527</v>
      </c>
      <c r="G2" s="9"/>
    </row>
    <row r="3" customFormat="false" ht="15" hidden="false" customHeight="false" outlineLevel="0" collapsed="false">
      <c r="A3" s="18" t="s">
        <v>528</v>
      </c>
      <c r="B3" s="8" t="s">
        <v>524</v>
      </c>
      <c r="C3" s="8" t="s">
        <v>529</v>
      </c>
      <c r="D3" s="8" t="s">
        <v>173</v>
      </c>
      <c r="E3" s="8" t="s">
        <v>530</v>
      </c>
      <c r="F3" s="8" t="s">
        <v>531</v>
      </c>
      <c r="G3" s="9"/>
    </row>
    <row r="4" customFormat="false" ht="23.85" hidden="false" customHeight="false" outlineLevel="0" collapsed="false">
      <c r="A4" s="18" t="s">
        <v>532</v>
      </c>
      <c r="B4" s="8" t="s">
        <v>533</v>
      </c>
      <c r="C4" s="8" t="s">
        <v>534</v>
      </c>
      <c r="D4" s="8" t="s">
        <v>173</v>
      </c>
      <c r="E4" s="8" t="s">
        <v>535</v>
      </c>
      <c r="F4" s="8" t="s">
        <v>536</v>
      </c>
      <c r="G4" s="9"/>
    </row>
    <row r="5" customFormat="false" ht="15" hidden="false" customHeight="false" outlineLevel="0" collapsed="false">
      <c r="A5" s="18" t="s">
        <v>537</v>
      </c>
      <c r="B5" s="8" t="s">
        <v>533</v>
      </c>
      <c r="C5" s="8" t="s">
        <v>538</v>
      </c>
      <c r="D5" s="8" t="s">
        <v>182</v>
      </c>
      <c r="E5" s="8" t="s">
        <v>539</v>
      </c>
      <c r="F5" s="8" t="s">
        <v>540</v>
      </c>
      <c r="G5" s="9"/>
    </row>
    <row r="6" customFormat="false" ht="23.85" hidden="false" customHeight="false" outlineLevel="0" collapsed="false">
      <c r="A6" s="18" t="s">
        <v>541</v>
      </c>
      <c r="B6" s="8" t="s">
        <v>542</v>
      </c>
      <c r="C6" s="8" t="s">
        <v>543</v>
      </c>
      <c r="D6" s="8" t="s">
        <v>182</v>
      </c>
      <c r="E6" s="8" t="s">
        <v>544</v>
      </c>
      <c r="F6" s="8" t="s">
        <v>545</v>
      </c>
      <c r="G6" s="9"/>
    </row>
    <row r="7" customFormat="false" ht="23.85" hidden="false" customHeight="false" outlineLevel="0" collapsed="false">
      <c r="A7" s="18" t="s">
        <v>546</v>
      </c>
      <c r="B7" s="8" t="s">
        <v>542</v>
      </c>
      <c r="C7" s="8" t="s">
        <v>547</v>
      </c>
      <c r="D7" s="8" t="s">
        <v>182</v>
      </c>
      <c r="E7" s="8" t="s">
        <v>548</v>
      </c>
      <c r="F7" s="8" t="s">
        <v>545</v>
      </c>
      <c r="G7" s="9"/>
    </row>
    <row r="8" customFormat="false" ht="15" hidden="false" customHeight="false" outlineLevel="0" collapsed="false">
      <c r="A8" s="18" t="s">
        <v>549</v>
      </c>
      <c r="B8" s="8" t="s">
        <v>542</v>
      </c>
      <c r="C8" s="8" t="s">
        <v>550</v>
      </c>
      <c r="D8" s="8" t="s">
        <v>182</v>
      </c>
      <c r="E8" s="8" t="s">
        <v>551</v>
      </c>
      <c r="F8" s="8" t="s">
        <v>552</v>
      </c>
      <c r="G8" s="9"/>
    </row>
    <row r="9" customFormat="false" ht="15" hidden="false" customHeight="false" outlineLevel="0" collapsed="false">
      <c r="A9" s="18" t="s">
        <v>553</v>
      </c>
      <c r="B9" s="8" t="s">
        <v>554</v>
      </c>
      <c r="C9" s="8" t="s">
        <v>555</v>
      </c>
      <c r="D9" s="8" t="s">
        <v>556</v>
      </c>
      <c r="E9" s="8" t="s">
        <v>557</v>
      </c>
      <c r="F9" s="8" t="s">
        <v>558</v>
      </c>
      <c r="G9" s="9"/>
    </row>
    <row r="10" customFormat="false" ht="15" hidden="false" customHeight="false" outlineLevel="0" collapsed="false">
      <c r="A10" s="18" t="s">
        <v>559</v>
      </c>
      <c r="B10" s="8" t="s">
        <v>554</v>
      </c>
      <c r="C10" s="8" t="s">
        <v>560</v>
      </c>
      <c r="D10" s="8" t="s">
        <v>268</v>
      </c>
      <c r="E10" s="8" t="s">
        <v>561</v>
      </c>
      <c r="F10" s="8" t="s">
        <v>562</v>
      </c>
      <c r="G10" s="9"/>
    </row>
    <row r="11" customFormat="false" ht="15" hidden="false" customHeight="false" outlineLevel="0" collapsed="false">
      <c r="A11" s="18" t="s">
        <v>563</v>
      </c>
      <c r="B11" s="8" t="s">
        <v>554</v>
      </c>
      <c r="C11" s="8" t="s">
        <v>564</v>
      </c>
      <c r="D11" s="8" t="s">
        <v>173</v>
      </c>
      <c r="E11" s="8" t="s">
        <v>565</v>
      </c>
      <c r="F11" s="8" t="s">
        <v>566</v>
      </c>
      <c r="G11" s="9"/>
    </row>
    <row r="12" customFormat="false" ht="15" hidden="false" customHeight="false" outlineLevel="0" collapsed="false">
      <c r="A12" s="18" t="s">
        <v>567</v>
      </c>
      <c r="B12" s="8" t="s">
        <v>568</v>
      </c>
      <c r="C12" s="8" t="s">
        <v>569</v>
      </c>
      <c r="D12" s="8" t="s">
        <v>268</v>
      </c>
      <c r="E12" s="8" t="s">
        <v>473</v>
      </c>
      <c r="F12" s="8" t="s">
        <v>570</v>
      </c>
      <c r="G12" s="9"/>
    </row>
    <row r="13" customFormat="false" ht="23.85" hidden="false" customHeight="false" outlineLevel="0" collapsed="false">
      <c r="A13" s="18" t="s">
        <v>571</v>
      </c>
      <c r="B13" s="8" t="s">
        <v>572</v>
      </c>
      <c r="C13" s="8" t="s">
        <v>573</v>
      </c>
      <c r="D13" s="8" t="s">
        <v>574</v>
      </c>
      <c r="E13" s="8" t="s">
        <v>575</v>
      </c>
      <c r="F13" s="8" t="s">
        <v>576</v>
      </c>
      <c r="G13" s="9"/>
    </row>
    <row r="14" customFormat="false" ht="15" hidden="false" customHeight="false" outlineLevel="0" collapsed="false">
      <c r="A14" s="18" t="s">
        <v>577</v>
      </c>
      <c r="B14" s="8" t="s">
        <v>572</v>
      </c>
      <c r="C14" s="8" t="s">
        <v>413</v>
      </c>
      <c r="D14" s="8" t="s">
        <v>414</v>
      </c>
      <c r="E14" s="8" t="s">
        <v>578</v>
      </c>
      <c r="F14" s="8" t="s">
        <v>579</v>
      </c>
      <c r="G14" s="9"/>
    </row>
    <row r="15" customFormat="false" ht="15" hidden="false" customHeight="false" outlineLevel="0" collapsed="false">
      <c r="A15" s="18" t="s">
        <v>580</v>
      </c>
      <c r="B15" s="8" t="s">
        <v>572</v>
      </c>
      <c r="C15" s="8" t="s">
        <v>581</v>
      </c>
      <c r="D15" s="8" t="s">
        <v>173</v>
      </c>
      <c r="E15" s="8" t="s">
        <v>582</v>
      </c>
      <c r="F15" s="8" t="s">
        <v>36</v>
      </c>
      <c r="G15" s="9"/>
    </row>
  </sheetData>
  <autoFilter ref="A1:G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2026-10-12T11:34:34Z</dcterms:created>
  <dc:creator>openpyxl</dc:creator>
  <dc:description/>
  <dc:language>en-US</dc:language>
  <cp:lastModifiedBy/>
  <dcterms:modified xsi:type="dcterms:W3CDTF">2026-10-12T11:34:34Z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